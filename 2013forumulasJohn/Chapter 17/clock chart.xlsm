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JWalk\Documents\Word Files\2013 Formulas\Examples\Chapter 17\"/>
    </mc:Choice>
  </mc:AlternateContent>
  <bookViews>
    <workbookView xWindow="0" yWindow="0" windowWidth="16515" windowHeight="10350"/>
  </bookViews>
  <sheets>
    <sheet name="Clock" sheetId="1" r:id="rId1"/>
  </sheets>
  <definedNames>
    <definedName name="DigitalClock">Clock!$B$5</definedName>
  </definedNames>
  <calcPr calcId="152511"/>
</workbook>
</file>

<file path=xl/calcChain.xml><?xml version="1.0" encoding="utf-8"?>
<calcChain xmlns="http://schemas.openxmlformats.org/spreadsheetml/2006/main">
  <c r="B5" i="1" l="1"/>
  <c r="N15" i="1" l="1"/>
  <c r="N14" i="1"/>
  <c r="N13" i="1"/>
  <c r="N12" i="1"/>
  <c r="N11" i="1"/>
  <c r="N10" i="1"/>
  <c r="N9" i="1"/>
  <c r="N8" i="1"/>
  <c r="N7" i="1"/>
  <c r="N6" i="1"/>
  <c r="N5" i="1"/>
  <c r="N4" i="1"/>
  <c r="M15" i="1"/>
  <c r="M14" i="1"/>
  <c r="M13" i="1"/>
  <c r="M12" i="1"/>
  <c r="M11" i="1"/>
  <c r="M10" i="1"/>
  <c r="M9" i="1"/>
  <c r="M8" i="1"/>
  <c r="M7" i="1"/>
  <c r="M6" i="1"/>
  <c r="M5" i="1"/>
  <c r="M4" i="1"/>
  <c r="L5" i="1"/>
  <c r="K5" i="1"/>
  <c r="J5" i="1"/>
  <c r="I5" i="1"/>
  <c r="H5" i="1"/>
  <c r="G5" i="1"/>
</calcChain>
</file>

<file path=xl/sharedStrings.xml><?xml version="1.0" encoding="utf-8"?>
<sst xmlns="http://schemas.openxmlformats.org/spreadsheetml/2006/main" count="12" uniqueCount="6">
  <si>
    <t>Hour Hand</t>
  </si>
  <si>
    <t>x</t>
  </si>
  <si>
    <t>y</t>
  </si>
  <si>
    <t>Minute Hand</t>
  </si>
  <si>
    <t>Second Hand</t>
  </si>
  <si>
    <t>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</si>
</sst>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8"/>
      <color rgb="FF000000"/>
      <name val="Tahoma"/>
      <family val="2"/>
    </font>
    <font>
      <sz val="40"/>
      <color rgb="FF00B05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double">
        <color indexed="9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164" fontId="0" fillId="0" borderId="0" xfId="0" applyNumberFormat="1"/>
    <xf numFmtId="164" fontId="0" fillId="0" borderId="0" xfId="0" quotePrefix="1" applyNumberFormat="1"/>
    <xf numFmtId="165" fontId="0" fillId="0" borderId="0" xfId="0" applyNumberFormat="1"/>
    <xf numFmtId="0" fontId="2" fillId="4" borderId="2" xfId="0" applyFont="1" applyFill="1" applyBorder="1" applyAlignment="1">
      <alignment horizontal="center"/>
    </xf>
    <xf numFmtId="164" fontId="3" fillId="0" borderId="2" xfId="0" applyNumberFormat="1" applyFont="1" applyBorder="1"/>
    <xf numFmtId="164" fontId="3" fillId="0" borderId="2" xfId="0" applyNumberFormat="1" applyFont="1" applyFill="1" applyBorder="1"/>
    <xf numFmtId="165" fontId="7" fillId="2" borderId="1" xfId="0" applyNumberFormat="1" applyFont="1" applyFill="1" applyBorder="1" applyAlignment="1">
      <alignment horizontal="center" vertical="center"/>
    </xf>
    <xf numFmtId="165" fontId="7" fillId="2" borderId="0" xfId="0" applyNumberFormat="1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/>
    </xf>
  </cellXfs>
  <cellStyles count="1">
    <cellStyle name="Normal" xfId="0" builtinId="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c:style val="2"/>
  <c:chart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929172576"/>
        <c:axId val="929180808"/>
      </c:scatterChart>
      <c:valAx>
        <c:axId val="929172576"/>
        <c:scaling>
          <c:orientation val="minMax"/>
        </c:scaling>
        <c:delete val="0"/>
        <c:axPos val="b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29180808"/>
        <c:crosses val="autoZero"/>
        <c:crossBetween val="midCat"/>
      </c:valAx>
      <c:valAx>
        <c:axId val="9291808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29172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416559412499524E-4"/>
          <c:y val="0"/>
          <c:w val="0.99918595281972733"/>
          <c:h val="1"/>
        </c:manualLayout>
      </c:layout>
      <c:scatterChart>
        <c:scatterStyle val="lineMarker"/>
        <c:varyColors val="0"/>
        <c:ser>
          <c:idx val="0"/>
          <c:order val="0"/>
          <c:tx>
            <c:v>SecondHand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Clock!$K$4:$K$5</c:f>
              <c:numCache>
                <c:formatCode>0.000</c:formatCode>
                <c:ptCount val="2"/>
                <c:pt idx="0">
                  <c:v>0</c:v>
                </c:pt>
                <c:pt idx="1">
                  <c:v>-0.7765136389962104</c:v>
                </c:pt>
              </c:numCache>
            </c:numRef>
          </c:xVal>
          <c:yVal>
            <c:numRef>
              <c:f>Clock!$L$4:$L$5</c:f>
              <c:numCache>
                <c:formatCode>0.000</c:formatCode>
                <c:ptCount val="2"/>
                <c:pt idx="0">
                  <c:v>0</c:v>
                </c:pt>
                <c:pt idx="1">
                  <c:v>-0.34572614661443074</c:v>
                </c:pt>
              </c:numCache>
            </c:numRef>
          </c:yVal>
          <c:smooth val="0"/>
        </c:ser>
        <c:ser>
          <c:idx val="1"/>
          <c:order val="1"/>
          <c:tx>
            <c:v>MinuteHand</c:v>
          </c:tx>
          <c:spPr>
            <a:ln w="317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Clock!$I$4:$I$5</c:f>
              <c:numCache>
                <c:formatCode>0.000</c:formatCode>
                <c:ptCount val="2"/>
                <c:pt idx="0">
                  <c:v>0</c:v>
                </c:pt>
                <c:pt idx="1">
                  <c:v>0.42275066777787784</c:v>
                </c:pt>
              </c:numCache>
            </c:numRef>
          </c:xVal>
          <c:yVal>
            <c:numRef>
              <c:f>Clock!$J$4:$J$5</c:f>
              <c:numCache>
                <c:formatCode>0.000</c:formatCode>
                <c:ptCount val="2"/>
                <c:pt idx="0">
                  <c:v>0</c:v>
                </c:pt>
                <c:pt idx="1">
                  <c:v>-0.67917735010331315</c:v>
                </c:pt>
              </c:numCache>
            </c:numRef>
          </c:yVal>
          <c:smooth val="0"/>
        </c:ser>
        <c:ser>
          <c:idx val="2"/>
          <c:order val="2"/>
          <c:tx>
            <c:v>HourHand</c:v>
          </c:tx>
          <c:spPr>
            <a:ln w="53975" cap="rnd">
              <a:solidFill>
                <a:srgbClr val="000000"/>
              </a:solidFill>
              <a:prstDash val="solid"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marker>
            <c:symbol val="none"/>
          </c:marker>
          <c:xVal>
            <c:numRef>
              <c:f>Clock!$G$4:$G$5</c:f>
              <c:numCache>
                <c:formatCode>0.000</c:formatCode>
                <c:ptCount val="2"/>
                <c:pt idx="0">
                  <c:v>0</c:v>
                </c:pt>
                <c:pt idx="1">
                  <c:v>-0.4890738003669029</c:v>
                </c:pt>
              </c:numCache>
            </c:numRef>
          </c:xVal>
          <c:yVal>
            <c:numRef>
              <c:f>Clock!$H$4:$H$5</c:f>
              <c:numCache>
                <c:formatCode>0.000</c:formatCode>
                <c:ptCount val="2"/>
                <c:pt idx="0">
                  <c:v>0</c:v>
                </c:pt>
                <c:pt idx="1">
                  <c:v>0.10395584540887928</c:v>
                </c:pt>
              </c:numCache>
            </c:numRef>
          </c:yVal>
          <c:smooth val="0"/>
        </c:ser>
        <c:ser>
          <c:idx val="3"/>
          <c:order val="3"/>
          <c:tx>
            <c:v>ClockNumbers</c:v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0853230302733897"/>
                  <c:y val="-1.5393416380228014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12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5.4444172739277229E-2"/>
                  <c:y val="1.412609801483793E-3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8.4661482532074797E-2"/>
                  <c:y val="-1.4235960443025117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9.145302489362743E-2"/>
                  <c:y val="-2.0293020647960801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8.0559169234280498E-2"/>
                  <c:y val="-2.3263856723791804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4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6.2763986760919002E-2"/>
                  <c:y val="-1.8272586067780396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7.5406009031479759E-2"/>
                  <c:y val="-1.7978433810324792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6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7.566401214147489E-2"/>
                  <c:y val="-1.8272586067780396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7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-7.4431902457968532E-2"/>
                  <c:y val="-1.9135778392338064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8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6.353814535728329E-2"/>
                  <c:y val="-1.7206718269263507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9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>
                <c:manualLayout>
                  <c:x val="-0.12098694184966009"/>
                  <c:y val="-1.8363927419289307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10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>
                <c:manualLayout>
                  <c:x val="-0.11807828369279927"/>
                  <c:y val="-1.5099258103572967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11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Clock!$M$4:$M$15</c:f>
              <c:numCache>
                <c:formatCode>0.000</c:formatCode>
                <c:ptCount val="12"/>
                <c:pt idx="0">
                  <c:v>0</c:v>
                </c:pt>
                <c:pt idx="1">
                  <c:v>0.49999999999999994</c:v>
                </c:pt>
                <c:pt idx="2">
                  <c:v>0.8660254037844386</c:v>
                </c:pt>
                <c:pt idx="3">
                  <c:v>1</c:v>
                </c:pt>
                <c:pt idx="4">
                  <c:v>0.86602540378443871</c:v>
                </c:pt>
                <c:pt idx="5">
                  <c:v>0.49999999999999994</c:v>
                </c:pt>
                <c:pt idx="6">
                  <c:v>1.22514845490862E-16</c:v>
                </c:pt>
                <c:pt idx="7">
                  <c:v>-0.50000000000000011</c:v>
                </c:pt>
                <c:pt idx="8">
                  <c:v>-0.86602540378443837</c:v>
                </c:pt>
                <c:pt idx="9">
                  <c:v>-1</c:v>
                </c:pt>
                <c:pt idx="10">
                  <c:v>-0.8660254037844386</c:v>
                </c:pt>
                <c:pt idx="11">
                  <c:v>-0.50000000000000044</c:v>
                </c:pt>
              </c:numCache>
            </c:numRef>
          </c:xVal>
          <c:yVal>
            <c:numRef>
              <c:f>Clock!$N$4:$N$15</c:f>
              <c:numCache>
                <c:formatCode>0.000</c:formatCode>
                <c:ptCount val="12"/>
                <c:pt idx="0">
                  <c:v>1</c:v>
                </c:pt>
                <c:pt idx="1">
                  <c:v>0.86602540378443871</c:v>
                </c:pt>
                <c:pt idx="2">
                  <c:v>0.49999999999999994</c:v>
                </c:pt>
                <c:pt idx="3">
                  <c:v>1.22514845490862E-16</c:v>
                </c:pt>
                <c:pt idx="4">
                  <c:v>-0.50000000000000011</c:v>
                </c:pt>
                <c:pt idx="5">
                  <c:v>-0.86602540378443837</c:v>
                </c:pt>
                <c:pt idx="6">
                  <c:v>-1</c:v>
                </c:pt>
                <c:pt idx="7">
                  <c:v>-0.8660254037844386</c:v>
                </c:pt>
                <c:pt idx="8">
                  <c:v>-0.50000000000000044</c:v>
                </c:pt>
                <c:pt idx="9">
                  <c:v>-2.45029690981724E-16</c:v>
                </c:pt>
                <c:pt idx="10">
                  <c:v>0.5</c:v>
                </c:pt>
                <c:pt idx="11">
                  <c:v>0.86602540378443882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9181592"/>
        <c:axId val="929181984"/>
      </c:scatterChart>
      <c:valAx>
        <c:axId val="929181592"/>
        <c:scaling>
          <c:orientation val="minMax"/>
          <c:max val="1.2"/>
          <c:min val="-1.2"/>
        </c:scaling>
        <c:delete val="1"/>
        <c:axPos val="b"/>
        <c:numFmt formatCode="0.000" sourceLinked="1"/>
        <c:majorTickMark val="out"/>
        <c:minorTickMark val="none"/>
        <c:tickLblPos val="nextTo"/>
        <c:crossAx val="929181984"/>
        <c:crosses val="autoZero"/>
        <c:crossBetween val="midCat"/>
        <c:majorUnit val="1"/>
      </c:valAx>
      <c:valAx>
        <c:axId val="929181984"/>
        <c:scaling>
          <c:orientation val="minMax"/>
          <c:max val="1.2"/>
          <c:min val="-1.2"/>
        </c:scaling>
        <c:delete val="1"/>
        <c:axPos val="l"/>
        <c:numFmt formatCode="0.000" sourceLinked="1"/>
        <c:majorTickMark val="out"/>
        <c:minorTickMark val="none"/>
        <c:tickLblPos val="nextTo"/>
        <c:crossAx val="929181592"/>
        <c:crosses val="autoZero"/>
        <c:crossBetween val="midCat"/>
        <c:majorUnit val="1"/>
      </c:valAx>
      <c:spPr>
        <a:gradFill flip="none" rotWithShape="1">
          <a:gsLst>
            <a:gs pos="0">
              <a:schemeClr val="accent5">
                <a:lumMod val="89000"/>
              </a:schemeClr>
            </a:gs>
            <a:gs pos="5000">
              <a:schemeClr val="bg1">
                <a:lumMod val="95000"/>
              </a:schemeClr>
            </a:gs>
            <a:gs pos="53000">
              <a:schemeClr val="tx2">
                <a:lumMod val="40000"/>
                <a:lumOff val="60000"/>
              </a:schemeClr>
            </a:gs>
            <a:gs pos="100000">
              <a:schemeClr val="tx2">
                <a:lumMod val="75000"/>
              </a:schemeClr>
            </a:gs>
          </a:gsLst>
          <a:path path="circle">
            <a:fillToRect l="50000" t="50000" r="50000" b="50000"/>
          </a:path>
          <a:tileRect/>
        </a:gradFill>
        <a:ln w="25400"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101600" dist="38100" dir="2700000" sx="103000" sy="103000" algn="tl" rotWithShape="0">
            <a:prstClr val="black">
              <a:alpha val="40000"/>
            </a:prstClr>
          </a:outerShdw>
          <a:softEdge rad="317500"/>
        </a:effectLst>
        <a:scene3d>
          <a:camera prst="orthographicFront"/>
          <a:lightRig rig="threePt" dir="t"/>
        </a:scene3d>
        <a:sp3d>
          <a:bevelT prst="relaxedInset"/>
        </a:sp3d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>
      <a:noFill/>
    </a:ln>
    <a:effectLst>
      <a:outerShdw blurRad="76200" dir="18900000" sy="23000" kx="-1200000" algn="bl" rotWithShape="0">
        <a:prstClr val="black">
          <a:alpha val="20000"/>
        </a:prstClr>
      </a:outerShdw>
      <a:softEdge rad="12700"/>
    </a:effectLst>
    <a:scene3d>
      <a:camera prst="orthographicFront"/>
      <a:lightRig rig="threePt" dir="t"/>
    </a:scene3d>
    <a:sp3d/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89" r="0.75000000000000089" t="1" header="0.5" footer="0.5"/>
    <c:pageSetup orientation="landscape" horizontalDpi="-4" verticalDpi="0" copies="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0</xdr:row>
      <xdr:rowOff>0</xdr:rowOff>
    </xdr:from>
    <xdr:to>
      <xdr:col>27</xdr:col>
      <xdr:colOff>0</xdr:colOff>
      <xdr:row>0</xdr:row>
      <xdr:rowOff>0</xdr:rowOff>
    </xdr:to>
    <xdr:graphicFrame macro="">
      <xdr:nvGraphicFramePr>
        <xdr:cNvPr id="1039" name="AnalogClock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219074</xdr:colOff>
      <xdr:row>2</xdr:row>
      <xdr:rowOff>142875</xdr:rowOff>
    </xdr:from>
    <xdr:to>
      <xdr:col>5</xdr:col>
      <xdr:colOff>228600</xdr:colOff>
      <xdr:row>20</xdr:row>
      <xdr:rowOff>0</xdr:rowOff>
    </xdr:to>
    <xdr:graphicFrame macro="">
      <xdr:nvGraphicFramePr>
        <xdr:cNvPr id="1025" name="Clock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0</xdr:row>
          <xdr:rowOff>171450</xdr:rowOff>
        </xdr:from>
        <xdr:to>
          <xdr:col>2</xdr:col>
          <xdr:colOff>190500</xdr:colOff>
          <xdr:row>2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Clock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0</xdr:row>
          <xdr:rowOff>171450</xdr:rowOff>
        </xdr:from>
        <xdr:to>
          <xdr:col>3</xdr:col>
          <xdr:colOff>180975</xdr:colOff>
          <xdr:row>2</xdr:row>
          <xdr:rowOff>19050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Clock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0</xdr:row>
          <xdr:rowOff>171450</xdr:rowOff>
        </xdr:from>
        <xdr:to>
          <xdr:col>4</xdr:col>
          <xdr:colOff>723900</xdr:colOff>
          <xdr:row>2</xdr:row>
          <xdr:rowOff>9525</xdr:rowOff>
        </xdr:to>
        <xdr:sp macro="" textlink="">
          <xdr:nvSpPr>
            <xdr:cNvPr id="1049" name="cbClockType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Analog Clock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N26"/>
  <sheetViews>
    <sheetView showGridLines="0" tabSelected="1" showOutlineSymbols="0" workbookViewId="0"/>
  </sheetViews>
  <sheetFormatPr defaultRowHeight="15" x14ac:dyDescent="0.25"/>
  <cols>
    <col min="1" max="1" width="5" customWidth="1"/>
    <col min="3" max="3" width="12.5703125" customWidth="1"/>
    <col min="5" max="5" width="14.7109375" customWidth="1"/>
    <col min="6" max="6" width="7.85546875" customWidth="1"/>
    <col min="7" max="8" width="7" customWidth="1"/>
    <col min="9" max="9" width="6.5703125" customWidth="1"/>
    <col min="10" max="10" width="7.28515625" customWidth="1"/>
    <col min="11" max="11" width="6.5703125" customWidth="1"/>
    <col min="12" max="12" width="6.140625" customWidth="1"/>
    <col min="13" max="13" width="8.140625" customWidth="1"/>
    <col min="14" max="14" width="8.85546875" customWidth="1"/>
  </cols>
  <sheetData>
    <row r="2" spans="1:14" x14ac:dyDescent="0.25">
      <c r="A2" s="1"/>
      <c r="B2" s="1"/>
      <c r="G2" s="10" t="s">
        <v>0</v>
      </c>
      <c r="H2" s="10"/>
      <c r="I2" s="10" t="s">
        <v>3</v>
      </c>
      <c r="J2" s="10"/>
      <c r="K2" s="10" t="s">
        <v>4</v>
      </c>
      <c r="L2" s="10"/>
      <c r="M2" s="10" t="s">
        <v>5</v>
      </c>
      <c r="N2" s="10"/>
    </row>
    <row r="3" spans="1:14" x14ac:dyDescent="0.25">
      <c r="G3" s="5" t="s">
        <v>1</v>
      </c>
      <c r="H3" s="5" t="s">
        <v>2</v>
      </c>
      <c r="I3" s="5" t="s">
        <v>1</v>
      </c>
      <c r="J3" s="5" t="s">
        <v>2</v>
      </c>
      <c r="K3" s="5" t="s">
        <v>1</v>
      </c>
      <c r="L3" s="5" t="s">
        <v>2</v>
      </c>
      <c r="M3" s="5" t="s">
        <v>1</v>
      </c>
      <c r="N3" s="5" t="s">
        <v>2</v>
      </c>
    </row>
    <row r="4" spans="1:14" ht="15.75" thickBot="1" x14ac:dyDescent="0.3">
      <c r="G4" s="6">
        <v>0</v>
      </c>
      <c r="H4" s="6">
        <v>0</v>
      </c>
      <c r="I4" s="6">
        <v>0</v>
      </c>
      <c r="J4" s="7">
        <v>0</v>
      </c>
      <c r="K4" s="6">
        <v>0</v>
      </c>
      <c r="L4" s="7">
        <v>0</v>
      </c>
      <c r="M4" s="6">
        <f>SIN(RADIANS(0))</f>
        <v>0</v>
      </c>
      <c r="N4" s="6">
        <f>SIN(RADIANS(90))</f>
        <v>1</v>
      </c>
    </row>
    <row r="5" spans="1:14" ht="14.25" customHeight="1" thickTop="1" x14ac:dyDescent="0.25">
      <c r="B5" s="8">
        <f ca="1">NOW()</f>
        <v>41297.39214074074</v>
      </c>
      <c r="C5" s="8"/>
      <c r="D5" s="8"/>
      <c r="E5" s="8"/>
      <c r="G5" s="6">
        <f ca="1">0.5*SIN((HOUR(NOW())+(MINUTE(NOW())/60))*(2*PI()/12))</f>
        <v>-0.4890738003669029</v>
      </c>
      <c r="H5" s="6">
        <f ca="1">0.5*COS((HOUR(NOW())+(MINUTE(NOW())/60))*(2*PI()/12))</f>
        <v>0.10395584540887928</v>
      </c>
      <c r="I5" s="6">
        <f ca="1">0.8*SIN((MINUTE(NOW())+(SECOND(NOW())/60))*(2*PI()/60))</f>
        <v>0.42275066777787784</v>
      </c>
      <c r="J5" s="6">
        <f ca="1">0.8*COS((MINUTE(NOW())+(SECOND(NOW())/60))*(2*PI()/60))</f>
        <v>-0.67917735010331315</v>
      </c>
      <c r="K5" s="6">
        <f ca="1">0.85*SIN(SECOND(NOW())*(2*PI()/60))</f>
        <v>-0.7765136389962104</v>
      </c>
      <c r="L5" s="6">
        <f ca="1">0.85*COS(SECOND(NOW())*(2*PI()/60))</f>
        <v>-0.34572614661443074</v>
      </c>
      <c r="M5" s="6">
        <f>SIN(RADIANS(30))</f>
        <v>0.49999999999999994</v>
      </c>
      <c r="N5" s="6">
        <f>SIN(RADIANS(120))</f>
        <v>0.86602540378443871</v>
      </c>
    </row>
    <row r="6" spans="1:14" x14ac:dyDescent="0.25">
      <c r="B6" s="9"/>
      <c r="C6" s="9"/>
      <c r="D6" s="9"/>
      <c r="E6" s="9"/>
      <c r="G6" s="2"/>
      <c r="H6" s="2"/>
      <c r="I6" s="2"/>
      <c r="J6" s="2"/>
      <c r="K6" s="2"/>
      <c r="L6" s="2"/>
      <c r="M6" s="6">
        <f>SIN(RADIANS(60))</f>
        <v>0.8660254037844386</v>
      </c>
      <c r="N6" s="6">
        <f>SIN(RADIANS(150))</f>
        <v>0.49999999999999994</v>
      </c>
    </row>
    <row r="7" spans="1:14" x14ac:dyDescent="0.25">
      <c r="B7" s="9"/>
      <c r="C7" s="9"/>
      <c r="D7" s="9"/>
      <c r="E7" s="9"/>
      <c r="G7" s="2"/>
      <c r="H7" s="2"/>
      <c r="I7" s="2"/>
      <c r="J7" s="2"/>
      <c r="K7" s="2"/>
      <c r="L7" s="2"/>
      <c r="M7" s="6">
        <f>SIN(RADIANS(90))</f>
        <v>1</v>
      </c>
      <c r="N7" s="6">
        <f>SIN(RADIANS(180))</f>
        <v>1.22514845490862E-16</v>
      </c>
    </row>
    <row r="8" spans="1:14" x14ac:dyDescent="0.25">
      <c r="B8" s="9"/>
      <c r="C8" s="9"/>
      <c r="D8" s="9"/>
      <c r="E8" s="9"/>
      <c r="G8" s="2"/>
      <c r="H8" s="2"/>
      <c r="I8" s="2"/>
      <c r="J8" s="2"/>
      <c r="K8" s="2"/>
      <c r="L8" s="2"/>
      <c r="M8" s="6">
        <f>SIN(RADIANS(120))</f>
        <v>0.86602540378443871</v>
      </c>
      <c r="N8" s="6">
        <f>SIN(RADIANS(210))</f>
        <v>-0.50000000000000011</v>
      </c>
    </row>
    <row r="9" spans="1:14" x14ac:dyDescent="0.25">
      <c r="B9" s="9"/>
      <c r="C9" s="9"/>
      <c r="D9" s="9"/>
      <c r="E9" s="9"/>
      <c r="G9" s="2"/>
      <c r="H9" s="2"/>
      <c r="I9" s="2"/>
      <c r="J9" s="2"/>
      <c r="K9" s="2"/>
      <c r="L9" s="2"/>
      <c r="M9" s="6">
        <f>SIN(RADIANS(150))</f>
        <v>0.49999999999999994</v>
      </c>
      <c r="N9" s="6">
        <f>SIN(RADIANS(240))</f>
        <v>-0.86602540378443837</v>
      </c>
    </row>
    <row r="10" spans="1:14" x14ac:dyDescent="0.25">
      <c r="B10" s="9"/>
      <c r="C10" s="9"/>
      <c r="D10" s="9"/>
      <c r="E10" s="9"/>
      <c r="G10" s="2"/>
      <c r="H10" s="2"/>
      <c r="I10" s="2"/>
      <c r="J10" s="2"/>
      <c r="K10" s="2"/>
      <c r="L10" s="2"/>
      <c r="M10" s="6">
        <f>SIN(RADIANS(180))</f>
        <v>1.22514845490862E-16</v>
      </c>
      <c r="N10" s="6">
        <f>SIN(RADIANS(270))</f>
        <v>-1</v>
      </c>
    </row>
    <row r="11" spans="1:14" x14ac:dyDescent="0.25">
      <c r="B11" s="9"/>
      <c r="C11" s="9"/>
      <c r="D11" s="9"/>
      <c r="E11" s="9"/>
      <c r="G11" s="2"/>
      <c r="H11" s="2"/>
      <c r="I11" s="2"/>
      <c r="J11" s="2"/>
      <c r="K11" s="2"/>
      <c r="L11" s="2"/>
      <c r="M11" s="6">
        <f>SIN(RADIANS(210))</f>
        <v>-0.50000000000000011</v>
      </c>
      <c r="N11" s="6">
        <f>SIN(RADIANS(300))</f>
        <v>-0.8660254037844386</v>
      </c>
    </row>
    <row r="12" spans="1:14" x14ac:dyDescent="0.25">
      <c r="G12" s="2"/>
      <c r="H12" s="3"/>
      <c r="I12" s="2"/>
      <c r="J12" s="2"/>
      <c r="K12" s="2"/>
      <c r="L12" s="2"/>
      <c r="M12" s="6">
        <f>SIN(RADIANS(240))</f>
        <v>-0.86602540378443837</v>
      </c>
      <c r="N12" s="6">
        <f>SIN(RADIANS(330))</f>
        <v>-0.50000000000000044</v>
      </c>
    </row>
    <row r="13" spans="1:14" x14ac:dyDescent="0.25">
      <c r="G13" s="2"/>
      <c r="H13" s="3"/>
      <c r="I13" s="2"/>
      <c r="J13" s="2"/>
      <c r="K13" s="2"/>
      <c r="L13" s="2"/>
      <c r="M13" s="6">
        <f>SIN(RADIANS(270))</f>
        <v>-1</v>
      </c>
      <c r="N13" s="6">
        <f>SIN(RADIANS(360))</f>
        <v>-2.45029690981724E-16</v>
      </c>
    </row>
    <row r="14" spans="1:14" x14ac:dyDescent="0.25">
      <c r="G14" s="2"/>
      <c r="H14" s="2"/>
      <c r="I14" s="2"/>
      <c r="J14" s="2"/>
      <c r="K14" s="2"/>
      <c r="L14" s="2"/>
      <c r="M14" s="6">
        <f>SIN(RADIANS(300))</f>
        <v>-0.8660254037844386</v>
      </c>
      <c r="N14" s="6">
        <f>SIN(RADIANS(390))</f>
        <v>0.5</v>
      </c>
    </row>
    <row r="15" spans="1:14" x14ac:dyDescent="0.25">
      <c r="G15" s="2"/>
      <c r="H15" s="2"/>
      <c r="I15" s="2"/>
      <c r="J15" s="2"/>
      <c r="K15" s="2"/>
      <c r="L15" s="2"/>
      <c r="M15" s="6">
        <f>SIN(RADIANS(330))</f>
        <v>-0.50000000000000044</v>
      </c>
      <c r="N15" s="6">
        <f>SIN(RADIANS(420))</f>
        <v>0.86602540378443882</v>
      </c>
    </row>
    <row r="26" spans="13:13" x14ac:dyDescent="0.25">
      <c r="M26" s="4"/>
    </row>
  </sheetData>
  <mergeCells count="5">
    <mergeCell ref="B5:E11"/>
    <mergeCell ref="G2:H2"/>
    <mergeCell ref="I2:J2"/>
    <mergeCell ref="K2:L2"/>
    <mergeCell ref="M2:N2"/>
  </mergeCells>
  <phoneticPr fontId="1" type="noConversion"/>
  <printOptions gridLinesSet="0"/>
  <pageMargins left="0.75" right="0.75" top="1" bottom="1" header="0.5" footer="0.5"/>
  <pageSetup orientation="portrait" horizontalDpi="4294967292" verticalDpi="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4" name="Button 16">
              <controlPr defaultSize="0" autoFill="0" autoPict="0" macro="[0]!StartClock">
                <anchor>
                  <from>
                    <xdr:col>1</xdr:col>
                    <xdr:colOff>57150</xdr:colOff>
                    <xdr:row>0</xdr:row>
                    <xdr:rowOff>171450</xdr:rowOff>
                  </from>
                  <to>
                    <xdr:col>2</xdr:col>
                    <xdr:colOff>190500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Button 17">
              <controlPr defaultSize="0" autoFill="0" autoPict="0" macro="[0]!StopClock">
                <anchor>
                  <from>
                    <xdr:col>2</xdr:col>
                    <xdr:colOff>276225</xdr:colOff>
                    <xdr:row>0</xdr:row>
                    <xdr:rowOff>171450</xdr:rowOff>
                  </from>
                  <to>
                    <xdr:col>3</xdr:col>
                    <xdr:colOff>180975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cbClockType">
              <controlPr defaultSize="0" autoFill="0" autoLine="0" autoPict="0" macro="[0]!cbClockType_Click">
                <anchor>
                  <from>
                    <xdr:col>3</xdr:col>
                    <xdr:colOff>304800</xdr:colOff>
                    <xdr:row>0</xdr:row>
                    <xdr:rowOff>171450</xdr:rowOff>
                  </from>
                  <to>
                    <xdr:col>4</xdr:col>
                    <xdr:colOff>723900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2006-11-29T23:53:55Z</outs:dateTime>
      <outs:isPinned>true</outs:isPinned>
    </outs:relatedDate>
    <outs:relatedDate>
      <outs:type>2</outs:type>
      <outs:displayName>Created</outs:displayName>
      <outs:dateTime>1998-11-11T15:34:13Z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8F2C1EBE-FFEC-4E35-B44A-DA3F7EEA17CA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Clock</vt:lpstr>
      <vt:lpstr>DigitalClock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clock chart.xlsm</dc:title>
  <dc:subject>Excel 2013 Formulas: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1998-11-11T15:34:13Z</dcterms:created>
  <dcterms:modified xsi:type="dcterms:W3CDTF">2013-01-23T16:24:41Z</dcterms:modified>
  <cp:category>Excel 2013 Formulas</cp:category>
</cp:coreProperties>
</file>