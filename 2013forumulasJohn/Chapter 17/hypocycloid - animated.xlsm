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Formulas\Examples\Chapter 17\"/>
    </mc:Choice>
  </mc:AlternateContent>
  <bookViews>
    <workbookView xWindow="0" yWindow="0" windowWidth="16185" windowHeight="9960"/>
  </bookViews>
  <sheets>
    <sheet name="Chart" sheetId="1" r:id="rId1"/>
    <sheet name="Module1" sheetId="2" state="veryHidden" r:id=""/>
  </sheets>
  <definedNames>
    <definedName name="a">Chart!$R$5:$R$381</definedName>
    <definedName name="a_inc">Chart!$R$2</definedName>
    <definedName name="animate">Chart!$V$2</definedName>
    <definedName name="b">Chart!$S$5:$S$381</definedName>
    <definedName name="b_inc">Chart!$S$2</definedName>
    <definedName name="Increments">Chart!$R$2:$T$2</definedName>
    <definedName name="Speed">Chart!$A$13</definedName>
    <definedName name="t">Chart!$T$5:$T$381</definedName>
    <definedName name="t_inc">Chart!$T$2</definedName>
    <definedName name="x">Chart!$U$5:$U$381</definedName>
    <definedName name="y">Chart!$V$5:$V$381</definedName>
  </definedNames>
  <calcPr calcId="152511"/>
</workbook>
</file>

<file path=xl/calcChain.xml><?xml version="1.0" encoding="utf-8"?>
<calcChain xmlns="http://schemas.openxmlformats.org/spreadsheetml/2006/main">
  <c r="T5" i="1" l="1"/>
  <c r="T6" i="1" s="1"/>
  <c r="S5" i="1"/>
  <c r="S6" i="1" s="1"/>
  <c r="S7" i="1" s="1"/>
  <c r="S8" i="1" s="1"/>
  <c r="S9" i="1" s="1"/>
  <c r="S10" i="1" s="1"/>
  <c r="S11" i="1" s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R5" i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B3" i="1"/>
  <c r="B4" i="1"/>
  <c r="B5" i="1"/>
  <c r="V5" i="1" l="1"/>
  <c r="V6" i="1"/>
  <c r="U6" i="1"/>
  <c r="T7" i="1"/>
  <c r="U5" i="1"/>
  <c r="S88" i="1"/>
  <c r="R108" i="1"/>
  <c r="R109" i="1" s="1"/>
  <c r="U7" i="1" l="1"/>
  <c r="V7" i="1"/>
  <c r="T8" i="1"/>
  <c r="S89" i="1"/>
  <c r="R110" i="1"/>
  <c r="U8" i="1" l="1"/>
  <c r="T9" i="1"/>
  <c r="V8" i="1"/>
  <c r="S90" i="1"/>
  <c r="R111" i="1"/>
  <c r="U9" i="1" l="1"/>
  <c r="V9" i="1"/>
  <c r="T10" i="1"/>
  <c r="S91" i="1"/>
  <c r="R112" i="1"/>
  <c r="U10" i="1" l="1"/>
  <c r="T11" i="1"/>
  <c r="V10" i="1"/>
  <c r="S92" i="1"/>
  <c r="R113" i="1"/>
  <c r="U11" i="1" l="1"/>
  <c r="V11" i="1"/>
  <c r="T12" i="1"/>
  <c r="S93" i="1"/>
  <c r="R114" i="1"/>
  <c r="U12" i="1" l="1"/>
  <c r="T13" i="1"/>
  <c r="V12" i="1"/>
  <c r="S94" i="1"/>
  <c r="R115" i="1"/>
  <c r="U13" i="1" l="1"/>
  <c r="V13" i="1"/>
  <c r="T14" i="1"/>
  <c r="S95" i="1"/>
  <c r="R116" i="1"/>
  <c r="U14" i="1" l="1"/>
  <c r="T15" i="1"/>
  <c r="V14" i="1"/>
  <c r="S96" i="1"/>
  <c r="R117" i="1"/>
  <c r="U15" i="1" l="1"/>
  <c r="V15" i="1"/>
  <c r="T16" i="1"/>
  <c r="S97" i="1"/>
  <c r="R118" i="1"/>
  <c r="U16" i="1" l="1"/>
  <c r="T17" i="1"/>
  <c r="V16" i="1"/>
  <c r="S98" i="1"/>
  <c r="R119" i="1"/>
  <c r="U17" i="1" l="1"/>
  <c r="V17" i="1"/>
  <c r="T18" i="1"/>
  <c r="S99" i="1"/>
  <c r="R120" i="1"/>
  <c r="U18" i="1" l="1"/>
  <c r="T19" i="1"/>
  <c r="V18" i="1"/>
  <c r="S100" i="1"/>
  <c r="R121" i="1"/>
  <c r="U19" i="1" l="1"/>
  <c r="V19" i="1"/>
  <c r="T20" i="1"/>
  <c r="S101" i="1"/>
  <c r="R122" i="1"/>
  <c r="U20" i="1" l="1"/>
  <c r="T21" i="1"/>
  <c r="V20" i="1"/>
  <c r="S102" i="1"/>
  <c r="R123" i="1"/>
  <c r="U21" i="1" l="1"/>
  <c r="V21" i="1"/>
  <c r="T22" i="1"/>
  <c r="S103" i="1"/>
  <c r="R124" i="1"/>
  <c r="U22" i="1" l="1"/>
  <c r="T23" i="1"/>
  <c r="V22" i="1"/>
  <c r="S104" i="1"/>
  <c r="R125" i="1"/>
  <c r="U23" i="1" l="1"/>
  <c r="V23" i="1"/>
  <c r="T24" i="1"/>
  <c r="S105" i="1"/>
  <c r="R126" i="1"/>
  <c r="U24" i="1" l="1"/>
  <c r="T25" i="1"/>
  <c r="V24" i="1"/>
  <c r="S106" i="1"/>
  <c r="R127" i="1"/>
  <c r="U25" i="1" l="1"/>
  <c r="V25" i="1"/>
  <c r="T26" i="1"/>
  <c r="S107" i="1"/>
  <c r="R128" i="1"/>
  <c r="U26" i="1" l="1"/>
  <c r="T27" i="1"/>
  <c r="V26" i="1"/>
  <c r="S108" i="1"/>
  <c r="R129" i="1"/>
  <c r="U27" i="1" l="1"/>
  <c r="V27" i="1"/>
  <c r="T28" i="1"/>
  <c r="S109" i="1"/>
  <c r="R130" i="1"/>
  <c r="U28" i="1" l="1"/>
  <c r="T29" i="1"/>
  <c r="V28" i="1"/>
  <c r="S110" i="1"/>
  <c r="R131" i="1"/>
  <c r="U29" i="1" l="1"/>
  <c r="V29" i="1"/>
  <c r="T30" i="1"/>
  <c r="S111" i="1"/>
  <c r="R132" i="1"/>
  <c r="U30" i="1" l="1"/>
  <c r="T31" i="1"/>
  <c r="V30" i="1"/>
  <c r="S112" i="1"/>
  <c r="R133" i="1"/>
  <c r="U31" i="1" l="1"/>
  <c r="V31" i="1"/>
  <c r="T32" i="1"/>
  <c r="S113" i="1"/>
  <c r="R134" i="1"/>
  <c r="U32" i="1" l="1"/>
  <c r="T33" i="1"/>
  <c r="V32" i="1"/>
  <c r="S114" i="1"/>
  <c r="R135" i="1"/>
  <c r="U33" i="1" l="1"/>
  <c r="V33" i="1"/>
  <c r="T34" i="1"/>
  <c r="S115" i="1"/>
  <c r="R136" i="1"/>
  <c r="U34" i="1" l="1"/>
  <c r="T35" i="1"/>
  <c r="V34" i="1"/>
  <c r="S116" i="1"/>
  <c r="R137" i="1"/>
  <c r="U35" i="1" l="1"/>
  <c r="V35" i="1"/>
  <c r="T36" i="1"/>
  <c r="S117" i="1"/>
  <c r="R138" i="1"/>
  <c r="U36" i="1" l="1"/>
  <c r="T37" i="1"/>
  <c r="V36" i="1"/>
  <c r="S118" i="1"/>
  <c r="R139" i="1"/>
  <c r="U37" i="1" l="1"/>
  <c r="V37" i="1"/>
  <c r="T38" i="1"/>
  <c r="S119" i="1"/>
  <c r="R140" i="1"/>
  <c r="U38" i="1" l="1"/>
  <c r="T39" i="1"/>
  <c r="V38" i="1"/>
  <c r="S120" i="1"/>
  <c r="R141" i="1"/>
  <c r="U39" i="1" l="1"/>
  <c r="V39" i="1"/>
  <c r="T40" i="1"/>
  <c r="S121" i="1"/>
  <c r="R142" i="1"/>
  <c r="U40" i="1" l="1"/>
  <c r="T41" i="1"/>
  <c r="V40" i="1"/>
  <c r="S122" i="1"/>
  <c r="R143" i="1"/>
  <c r="U41" i="1" l="1"/>
  <c r="V41" i="1"/>
  <c r="T42" i="1"/>
  <c r="S123" i="1"/>
  <c r="R144" i="1"/>
  <c r="U42" i="1" l="1"/>
  <c r="T43" i="1"/>
  <c r="V42" i="1"/>
  <c r="S124" i="1"/>
  <c r="R145" i="1"/>
  <c r="U43" i="1" l="1"/>
  <c r="V43" i="1"/>
  <c r="T44" i="1"/>
  <c r="S125" i="1"/>
  <c r="R146" i="1"/>
  <c r="U44" i="1" l="1"/>
  <c r="T45" i="1"/>
  <c r="V44" i="1"/>
  <c r="S126" i="1"/>
  <c r="R147" i="1"/>
  <c r="U45" i="1" l="1"/>
  <c r="V45" i="1"/>
  <c r="T46" i="1"/>
  <c r="S127" i="1"/>
  <c r="R148" i="1"/>
  <c r="U46" i="1" l="1"/>
  <c r="T47" i="1"/>
  <c r="V46" i="1"/>
  <c r="S128" i="1"/>
  <c r="R149" i="1"/>
  <c r="U47" i="1" l="1"/>
  <c r="V47" i="1"/>
  <c r="T48" i="1"/>
  <c r="S129" i="1"/>
  <c r="R150" i="1"/>
  <c r="U48" i="1" l="1"/>
  <c r="T49" i="1"/>
  <c r="V48" i="1"/>
  <c r="S130" i="1"/>
  <c r="R151" i="1"/>
  <c r="U49" i="1" l="1"/>
  <c r="V49" i="1"/>
  <c r="T50" i="1"/>
  <c r="S131" i="1"/>
  <c r="R152" i="1"/>
  <c r="U50" i="1" l="1"/>
  <c r="T51" i="1"/>
  <c r="V50" i="1"/>
  <c r="S132" i="1"/>
  <c r="R153" i="1"/>
  <c r="U51" i="1" l="1"/>
  <c r="V51" i="1"/>
  <c r="T52" i="1"/>
  <c r="S133" i="1"/>
  <c r="R154" i="1"/>
  <c r="U52" i="1" l="1"/>
  <c r="T53" i="1"/>
  <c r="V52" i="1"/>
  <c r="S134" i="1"/>
  <c r="R155" i="1"/>
  <c r="U53" i="1" l="1"/>
  <c r="V53" i="1"/>
  <c r="T54" i="1"/>
  <c r="S135" i="1"/>
  <c r="R156" i="1"/>
  <c r="U54" i="1" l="1"/>
  <c r="T55" i="1"/>
  <c r="V54" i="1"/>
  <c r="S136" i="1"/>
  <c r="R157" i="1"/>
  <c r="U55" i="1" l="1"/>
  <c r="V55" i="1"/>
  <c r="T56" i="1"/>
  <c r="S137" i="1"/>
  <c r="R158" i="1"/>
  <c r="U56" i="1" l="1"/>
  <c r="T57" i="1"/>
  <c r="V56" i="1"/>
  <c r="S138" i="1"/>
  <c r="R159" i="1"/>
  <c r="U57" i="1" l="1"/>
  <c r="V57" i="1"/>
  <c r="T58" i="1"/>
  <c r="S139" i="1"/>
  <c r="R160" i="1"/>
  <c r="U58" i="1" l="1"/>
  <c r="T59" i="1"/>
  <c r="V58" i="1"/>
  <c r="S140" i="1"/>
  <c r="R161" i="1"/>
  <c r="U59" i="1" l="1"/>
  <c r="T60" i="1"/>
  <c r="V59" i="1"/>
  <c r="S141" i="1"/>
  <c r="R162" i="1"/>
  <c r="U60" i="1" l="1"/>
  <c r="T61" i="1"/>
  <c r="V60" i="1"/>
  <c r="S142" i="1"/>
  <c r="R163" i="1"/>
  <c r="U61" i="1" l="1"/>
  <c r="V61" i="1"/>
  <c r="T62" i="1"/>
  <c r="S143" i="1"/>
  <c r="R164" i="1"/>
  <c r="U62" i="1" l="1"/>
  <c r="T63" i="1"/>
  <c r="V62" i="1"/>
  <c r="S144" i="1"/>
  <c r="R165" i="1"/>
  <c r="U63" i="1" l="1"/>
  <c r="T64" i="1"/>
  <c r="V63" i="1"/>
  <c r="S145" i="1"/>
  <c r="R166" i="1"/>
  <c r="U64" i="1" l="1"/>
  <c r="T65" i="1"/>
  <c r="V64" i="1"/>
  <c r="S146" i="1"/>
  <c r="R167" i="1"/>
  <c r="U65" i="1" l="1"/>
  <c r="V65" i="1"/>
  <c r="T66" i="1"/>
  <c r="S147" i="1"/>
  <c r="R168" i="1"/>
  <c r="U66" i="1" l="1"/>
  <c r="T67" i="1"/>
  <c r="V66" i="1"/>
  <c r="S148" i="1"/>
  <c r="R169" i="1"/>
  <c r="U67" i="1" l="1"/>
  <c r="T68" i="1"/>
  <c r="V67" i="1"/>
  <c r="S149" i="1"/>
  <c r="R170" i="1"/>
  <c r="U68" i="1" l="1"/>
  <c r="T69" i="1"/>
  <c r="V68" i="1"/>
  <c r="S150" i="1"/>
  <c r="R171" i="1"/>
  <c r="U69" i="1" l="1"/>
  <c r="V69" i="1"/>
  <c r="T70" i="1"/>
  <c r="S151" i="1"/>
  <c r="R172" i="1"/>
  <c r="U70" i="1" l="1"/>
  <c r="T71" i="1"/>
  <c r="V70" i="1"/>
  <c r="S152" i="1"/>
  <c r="R173" i="1"/>
  <c r="U71" i="1" l="1"/>
  <c r="T72" i="1"/>
  <c r="V71" i="1"/>
  <c r="S153" i="1"/>
  <c r="R174" i="1"/>
  <c r="U72" i="1" l="1"/>
  <c r="T73" i="1"/>
  <c r="V72" i="1"/>
  <c r="S154" i="1"/>
  <c r="R175" i="1"/>
  <c r="U73" i="1" l="1"/>
  <c r="V73" i="1"/>
  <c r="T74" i="1"/>
  <c r="S155" i="1"/>
  <c r="R176" i="1"/>
  <c r="U74" i="1" l="1"/>
  <c r="T75" i="1"/>
  <c r="V74" i="1"/>
  <c r="S156" i="1"/>
  <c r="R177" i="1"/>
  <c r="U75" i="1" l="1"/>
  <c r="T76" i="1"/>
  <c r="V75" i="1"/>
  <c r="S157" i="1"/>
  <c r="R178" i="1"/>
  <c r="U76" i="1" l="1"/>
  <c r="T77" i="1"/>
  <c r="V76" i="1"/>
  <c r="S158" i="1"/>
  <c r="R179" i="1"/>
  <c r="U77" i="1" l="1"/>
  <c r="T78" i="1"/>
  <c r="V77" i="1"/>
  <c r="S159" i="1"/>
  <c r="R180" i="1"/>
  <c r="U78" i="1" l="1"/>
  <c r="T79" i="1"/>
  <c r="V78" i="1"/>
  <c r="S160" i="1"/>
  <c r="R181" i="1"/>
  <c r="U79" i="1" l="1"/>
  <c r="T80" i="1"/>
  <c r="V79" i="1"/>
  <c r="S161" i="1"/>
  <c r="R182" i="1"/>
  <c r="U80" i="1" l="1"/>
  <c r="T81" i="1"/>
  <c r="V80" i="1"/>
  <c r="S162" i="1"/>
  <c r="R183" i="1"/>
  <c r="U81" i="1" l="1"/>
  <c r="T82" i="1"/>
  <c r="V81" i="1"/>
  <c r="S163" i="1"/>
  <c r="R184" i="1"/>
  <c r="U82" i="1" l="1"/>
  <c r="T83" i="1"/>
  <c r="V82" i="1"/>
  <c r="S164" i="1"/>
  <c r="R185" i="1"/>
  <c r="U83" i="1" l="1"/>
  <c r="T84" i="1"/>
  <c r="V83" i="1"/>
  <c r="S165" i="1"/>
  <c r="R186" i="1"/>
  <c r="U84" i="1" l="1"/>
  <c r="T85" i="1"/>
  <c r="V84" i="1"/>
  <c r="S166" i="1"/>
  <c r="R187" i="1"/>
  <c r="U85" i="1" l="1"/>
  <c r="T86" i="1"/>
  <c r="V85" i="1"/>
  <c r="S167" i="1"/>
  <c r="R188" i="1"/>
  <c r="U86" i="1" l="1"/>
  <c r="T87" i="1"/>
  <c r="V86" i="1"/>
  <c r="S168" i="1"/>
  <c r="R189" i="1"/>
  <c r="T88" i="1" l="1"/>
  <c r="V87" i="1"/>
  <c r="U87" i="1"/>
  <c r="S169" i="1"/>
  <c r="R190" i="1"/>
  <c r="T89" i="1" l="1"/>
  <c r="V88" i="1"/>
  <c r="U88" i="1"/>
  <c r="S170" i="1"/>
  <c r="R191" i="1"/>
  <c r="T90" i="1" l="1"/>
  <c r="U89" i="1"/>
  <c r="V89" i="1"/>
  <c r="S171" i="1"/>
  <c r="R192" i="1"/>
  <c r="T91" i="1" l="1"/>
  <c r="V90" i="1"/>
  <c r="U90" i="1"/>
  <c r="S172" i="1"/>
  <c r="R193" i="1"/>
  <c r="T92" i="1" l="1"/>
  <c r="V91" i="1"/>
  <c r="U91" i="1"/>
  <c r="S173" i="1"/>
  <c r="R194" i="1"/>
  <c r="T93" i="1" l="1"/>
  <c r="V92" i="1"/>
  <c r="U92" i="1"/>
  <c r="S174" i="1"/>
  <c r="R195" i="1"/>
  <c r="T94" i="1" l="1"/>
  <c r="V93" i="1"/>
  <c r="U93" i="1"/>
  <c r="S175" i="1"/>
  <c r="R196" i="1"/>
  <c r="T95" i="1" l="1"/>
  <c r="V94" i="1"/>
  <c r="U94" i="1"/>
  <c r="S176" i="1"/>
  <c r="R197" i="1"/>
  <c r="T96" i="1" l="1"/>
  <c r="V95" i="1"/>
  <c r="U95" i="1"/>
  <c r="S177" i="1"/>
  <c r="R198" i="1"/>
  <c r="T97" i="1" l="1"/>
  <c r="V96" i="1"/>
  <c r="U96" i="1"/>
  <c r="S178" i="1"/>
  <c r="R199" i="1"/>
  <c r="T98" i="1" l="1"/>
  <c r="V97" i="1"/>
  <c r="U97" i="1"/>
  <c r="S179" i="1"/>
  <c r="R200" i="1"/>
  <c r="T99" i="1" l="1"/>
  <c r="V98" i="1"/>
  <c r="U98" i="1"/>
  <c r="S180" i="1"/>
  <c r="R201" i="1"/>
  <c r="T100" i="1" l="1"/>
  <c r="V99" i="1"/>
  <c r="U99" i="1"/>
  <c r="S181" i="1"/>
  <c r="R202" i="1"/>
  <c r="T101" i="1" l="1"/>
  <c r="V100" i="1"/>
  <c r="U100" i="1"/>
  <c r="S182" i="1"/>
  <c r="R203" i="1"/>
  <c r="T102" i="1" l="1"/>
  <c r="V101" i="1"/>
  <c r="U101" i="1"/>
  <c r="S183" i="1"/>
  <c r="R204" i="1"/>
  <c r="T103" i="1" l="1"/>
  <c r="V102" i="1"/>
  <c r="U102" i="1"/>
  <c r="S184" i="1"/>
  <c r="R205" i="1"/>
  <c r="T104" i="1" l="1"/>
  <c r="V103" i="1"/>
  <c r="U103" i="1"/>
  <c r="S185" i="1"/>
  <c r="R206" i="1"/>
  <c r="T105" i="1" l="1"/>
  <c r="V104" i="1"/>
  <c r="U104" i="1"/>
  <c r="S186" i="1"/>
  <c r="R207" i="1"/>
  <c r="T106" i="1" l="1"/>
  <c r="U105" i="1"/>
  <c r="V105" i="1"/>
  <c r="S187" i="1"/>
  <c r="R208" i="1"/>
  <c r="T107" i="1" l="1"/>
  <c r="U106" i="1"/>
  <c r="V106" i="1"/>
  <c r="S188" i="1"/>
  <c r="R209" i="1"/>
  <c r="T108" i="1" l="1"/>
  <c r="U107" i="1"/>
  <c r="V107" i="1"/>
  <c r="S189" i="1"/>
  <c r="R210" i="1"/>
  <c r="T109" i="1" l="1"/>
  <c r="U108" i="1"/>
  <c r="V108" i="1"/>
  <c r="S190" i="1"/>
  <c r="R211" i="1"/>
  <c r="T110" i="1" l="1"/>
  <c r="U109" i="1"/>
  <c r="V109" i="1"/>
  <c r="S191" i="1"/>
  <c r="R212" i="1"/>
  <c r="T111" i="1" l="1"/>
  <c r="U110" i="1"/>
  <c r="V110" i="1"/>
  <c r="S192" i="1"/>
  <c r="R213" i="1"/>
  <c r="T112" i="1" l="1"/>
  <c r="V111" i="1"/>
  <c r="U111" i="1"/>
  <c r="S193" i="1"/>
  <c r="R214" i="1"/>
  <c r="T113" i="1" l="1"/>
  <c r="U112" i="1"/>
  <c r="V112" i="1"/>
  <c r="S194" i="1"/>
  <c r="R215" i="1"/>
  <c r="T114" i="1" l="1"/>
  <c r="U113" i="1"/>
  <c r="V113" i="1"/>
  <c r="S195" i="1"/>
  <c r="R216" i="1"/>
  <c r="T115" i="1" l="1"/>
  <c r="V114" i="1"/>
  <c r="U114" i="1"/>
  <c r="S196" i="1"/>
  <c r="R217" i="1"/>
  <c r="T116" i="1" l="1"/>
  <c r="U115" i="1"/>
  <c r="V115" i="1"/>
  <c r="S197" i="1"/>
  <c r="R218" i="1"/>
  <c r="T117" i="1" l="1"/>
  <c r="V116" i="1"/>
  <c r="U116" i="1"/>
  <c r="S198" i="1"/>
  <c r="R219" i="1"/>
  <c r="T118" i="1" l="1"/>
  <c r="U117" i="1"/>
  <c r="V117" i="1"/>
  <c r="S199" i="1"/>
  <c r="R220" i="1"/>
  <c r="T119" i="1" l="1"/>
  <c r="U118" i="1"/>
  <c r="V118" i="1"/>
  <c r="S200" i="1"/>
  <c r="R221" i="1"/>
  <c r="T120" i="1" l="1"/>
  <c r="U119" i="1"/>
  <c r="V119" i="1"/>
  <c r="S201" i="1"/>
  <c r="R222" i="1"/>
  <c r="T121" i="1" l="1"/>
  <c r="U120" i="1"/>
  <c r="V120" i="1"/>
  <c r="S202" i="1"/>
  <c r="R223" i="1"/>
  <c r="T122" i="1" l="1"/>
  <c r="V121" i="1"/>
  <c r="U121" i="1"/>
  <c r="S203" i="1"/>
  <c r="R224" i="1"/>
  <c r="T123" i="1" l="1"/>
  <c r="V122" i="1"/>
  <c r="U122" i="1"/>
  <c r="S204" i="1"/>
  <c r="R225" i="1"/>
  <c r="T124" i="1" l="1"/>
  <c r="V123" i="1"/>
  <c r="U123" i="1"/>
  <c r="S205" i="1"/>
  <c r="R226" i="1"/>
  <c r="T125" i="1" l="1"/>
  <c r="V124" i="1"/>
  <c r="U124" i="1"/>
  <c r="S206" i="1"/>
  <c r="R227" i="1"/>
  <c r="T126" i="1" l="1"/>
  <c r="V125" i="1"/>
  <c r="U125" i="1"/>
  <c r="S207" i="1"/>
  <c r="R228" i="1"/>
  <c r="T127" i="1" l="1"/>
  <c r="V126" i="1"/>
  <c r="U126" i="1"/>
  <c r="S208" i="1"/>
  <c r="R229" i="1"/>
  <c r="T128" i="1" l="1"/>
  <c r="U127" i="1"/>
  <c r="V127" i="1"/>
  <c r="S209" i="1"/>
  <c r="R230" i="1"/>
  <c r="T129" i="1" l="1"/>
  <c r="V128" i="1"/>
  <c r="U128" i="1"/>
  <c r="S210" i="1"/>
  <c r="R231" i="1"/>
  <c r="T130" i="1" l="1"/>
  <c r="V129" i="1"/>
  <c r="U129" i="1"/>
  <c r="S211" i="1"/>
  <c r="R232" i="1"/>
  <c r="T131" i="1" l="1"/>
  <c r="V130" i="1"/>
  <c r="U130" i="1"/>
  <c r="S212" i="1"/>
  <c r="R233" i="1"/>
  <c r="T132" i="1" l="1"/>
  <c r="V131" i="1"/>
  <c r="U131" i="1"/>
  <c r="S213" i="1"/>
  <c r="R234" i="1"/>
  <c r="T133" i="1" l="1"/>
  <c r="V132" i="1"/>
  <c r="U132" i="1"/>
  <c r="S214" i="1"/>
  <c r="R235" i="1"/>
  <c r="T134" i="1" l="1"/>
  <c r="V133" i="1"/>
  <c r="U133" i="1"/>
  <c r="S215" i="1"/>
  <c r="R236" i="1"/>
  <c r="T135" i="1" l="1"/>
  <c r="U134" i="1"/>
  <c r="V134" i="1"/>
  <c r="S216" i="1"/>
  <c r="R237" i="1"/>
  <c r="T136" i="1" l="1"/>
  <c r="V135" i="1"/>
  <c r="U135" i="1"/>
  <c r="S217" i="1"/>
  <c r="R238" i="1"/>
  <c r="T137" i="1" l="1"/>
  <c r="U136" i="1"/>
  <c r="V136" i="1"/>
  <c r="S218" i="1"/>
  <c r="R239" i="1"/>
  <c r="T138" i="1" l="1"/>
  <c r="U137" i="1"/>
  <c r="V137" i="1"/>
  <c r="S219" i="1"/>
  <c r="R240" i="1"/>
  <c r="T139" i="1" l="1"/>
  <c r="U138" i="1"/>
  <c r="V138" i="1"/>
  <c r="S220" i="1"/>
  <c r="R241" i="1"/>
  <c r="T140" i="1" l="1"/>
  <c r="U139" i="1"/>
  <c r="V139" i="1"/>
  <c r="S221" i="1"/>
  <c r="R242" i="1"/>
  <c r="T141" i="1" l="1"/>
  <c r="U140" i="1"/>
  <c r="V140" i="1"/>
  <c r="S222" i="1"/>
  <c r="R243" i="1"/>
  <c r="T142" i="1" l="1"/>
  <c r="U141" i="1"/>
  <c r="V141" i="1"/>
  <c r="S223" i="1"/>
  <c r="R244" i="1"/>
  <c r="T143" i="1" l="1"/>
  <c r="U142" i="1"/>
  <c r="V142" i="1"/>
  <c r="S224" i="1"/>
  <c r="R245" i="1"/>
  <c r="T144" i="1" l="1"/>
  <c r="U143" i="1"/>
  <c r="V143" i="1"/>
  <c r="S225" i="1"/>
  <c r="R246" i="1"/>
  <c r="T145" i="1" l="1"/>
  <c r="U144" i="1"/>
  <c r="V144" i="1"/>
  <c r="S226" i="1"/>
  <c r="R247" i="1"/>
  <c r="T146" i="1" l="1"/>
  <c r="U145" i="1"/>
  <c r="V145" i="1"/>
  <c r="S227" i="1"/>
  <c r="R248" i="1"/>
  <c r="T147" i="1" l="1"/>
  <c r="V146" i="1"/>
  <c r="U146" i="1"/>
  <c r="S228" i="1"/>
  <c r="R249" i="1"/>
  <c r="T148" i="1" l="1"/>
  <c r="V147" i="1"/>
  <c r="U147" i="1"/>
  <c r="S229" i="1"/>
  <c r="R250" i="1"/>
  <c r="T149" i="1" l="1"/>
  <c r="V148" i="1"/>
  <c r="U148" i="1"/>
  <c r="S230" i="1"/>
  <c r="R251" i="1"/>
  <c r="T150" i="1" l="1"/>
  <c r="V149" i="1"/>
  <c r="U149" i="1"/>
  <c r="S231" i="1"/>
  <c r="R252" i="1"/>
  <c r="T151" i="1" l="1"/>
  <c r="V150" i="1"/>
  <c r="U150" i="1"/>
  <c r="S232" i="1"/>
  <c r="R253" i="1"/>
  <c r="T152" i="1" l="1"/>
  <c r="V151" i="1"/>
  <c r="U151" i="1"/>
  <c r="S233" i="1"/>
  <c r="R254" i="1"/>
  <c r="T153" i="1" l="1"/>
  <c r="V152" i="1"/>
  <c r="U152" i="1"/>
  <c r="S234" i="1"/>
  <c r="R255" i="1"/>
  <c r="T154" i="1" l="1"/>
  <c r="U153" i="1"/>
  <c r="V153" i="1"/>
  <c r="S235" i="1"/>
  <c r="R256" i="1"/>
  <c r="T155" i="1" l="1"/>
  <c r="U154" i="1"/>
  <c r="V154" i="1"/>
  <c r="S236" i="1"/>
  <c r="R257" i="1"/>
  <c r="T156" i="1" l="1"/>
  <c r="U155" i="1"/>
  <c r="V155" i="1"/>
  <c r="S237" i="1"/>
  <c r="R258" i="1"/>
  <c r="T157" i="1" l="1"/>
  <c r="U156" i="1"/>
  <c r="V156" i="1"/>
  <c r="S238" i="1"/>
  <c r="R259" i="1"/>
  <c r="T158" i="1" l="1"/>
  <c r="U157" i="1"/>
  <c r="V157" i="1"/>
  <c r="S239" i="1"/>
  <c r="R260" i="1"/>
  <c r="T159" i="1" l="1"/>
  <c r="U158" i="1"/>
  <c r="V158" i="1"/>
  <c r="S240" i="1"/>
  <c r="R261" i="1"/>
  <c r="T160" i="1" l="1"/>
  <c r="U159" i="1"/>
  <c r="V159" i="1"/>
  <c r="S241" i="1"/>
  <c r="R262" i="1"/>
  <c r="T161" i="1" l="1"/>
  <c r="U160" i="1"/>
  <c r="V160" i="1"/>
  <c r="S242" i="1"/>
  <c r="R263" i="1"/>
  <c r="T162" i="1" l="1"/>
  <c r="U161" i="1"/>
  <c r="V161" i="1"/>
  <c r="S243" i="1"/>
  <c r="R264" i="1"/>
  <c r="T163" i="1" l="1"/>
  <c r="V162" i="1"/>
  <c r="U162" i="1"/>
  <c r="S244" i="1"/>
  <c r="R265" i="1"/>
  <c r="T164" i="1" l="1"/>
  <c r="U163" i="1"/>
  <c r="V163" i="1"/>
  <c r="S245" i="1"/>
  <c r="R266" i="1"/>
  <c r="T165" i="1" l="1"/>
  <c r="V164" i="1"/>
  <c r="U164" i="1"/>
  <c r="S246" i="1"/>
  <c r="R267" i="1"/>
  <c r="T166" i="1" l="1"/>
  <c r="U165" i="1"/>
  <c r="V165" i="1"/>
  <c r="S247" i="1"/>
  <c r="R268" i="1"/>
  <c r="T167" i="1" l="1"/>
  <c r="V166" i="1"/>
  <c r="U166" i="1"/>
  <c r="S248" i="1"/>
  <c r="R269" i="1"/>
  <c r="T168" i="1" l="1"/>
  <c r="V167" i="1"/>
  <c r="U167" i="1"/>
  <c r="S249" i="1"/>
  <c r="R270" i="1"/>
  <c r="T169" i="1" l="1"/>
  <c r="V168" i="1"/>
  <c r="U168" i="1"/>
  <c r="S250" i="1"/>
  <c r="R271" i="1"/>
  <c r="T170" i="1" l="1"/>
  <c r="U169" i="1"/>
  <c r="V169" i="1"/>
  <c r="S251" i="1"/>
  <c r="R272" i="1"/>
  <c r="T171" i="1" l="1"/>
  <c r="V170" i="1"/>
  <c r="U170" i="1"/>
  <c r="S252" i="1"/>
  <c r="R273" i="1"/>
  <c r="T172" i="1" l="1"/>
  <c r="V171" i="1"/>
  <c r="U171" i="1"/>
  <c r="S253" i="1"/>
  <c r="R274" i="1"/>
  <c r="T173" i="1" l="1"/>
  <c r="V172" i="1"/>
  <c r="U172" i="1"/>
  <c r="S254" i="1"/>
  <c r="R275" i="1"/>
  <c r="T174" i="1" l="1"/>
  <c r="U173" i="1"/>
  <c r="V173" i="1"/>
  <c r="S255" i="1"/>
  <c r="R276" i="1"/>
  <c r="T175" i="1" l="1"/>
  <c r="V174" i="1"/>
  <c r="U174" i="1"/>
  <c r="S256" i="1"/>
  <c r="R277" i="1"/>
  <c r="T176" i="1" l="1"/>
  <c r="U175" i="1"/>
  <c r="V175" i="1"/>
  <c r="S257" i="1"/>
  <c r="R278" i="1"/>
  <c r="T177" i="1" l="1"/>
  <c r="V176" i="1"/>
  <c r="U176" i="1"/>
  <c r="S258" i="1"/>
  <c r="R279" i="1"/>
  <c r="T178" i="1" l="1"/>
  <c r="U177" i="1"/>
  <c r="V177" i="1"/>
  <c r="S259" i="1"/>
  <c r="R280" i="1"/>
  <c r="T179" i="1" l="1"/>
  <c r="V178" i="1"/>
  <c r="U178" i="1"/>
  <c r="S260" i="1"/>
  <c r="R281" i="1"/>
  <c r="T180" i="1" l="1"/>
  <c r="U179" i="1"/>
  <c r="V179" i="1"/>
  <c r="S261" i="1"/>
  <c r="R282" i="1"/>
  <c r="T181" i="1" l="1"/>
  <c r="V180" i="1"/>
  <c r="U180" i="1"/>
  <c r="S262" i="1"/>
  <c r="R283" i="1"/>
  <c r="T182" i="1" l="1"/>
  <c r="V181" i="1"/>
  <c r="U181" i="1"/>
  <c r="S263" i="1"/>
  <c r="R284" i="1"/>
  <c r="T183" i="1" l="1"/>
  <c r="U182" i="1"/>
  <c r="V182" i="1"/>
  <c r="S264" i="1"/>
  <c r="R285" i="1"/>
  <c r="T184" i="1" l="1"/>
  <c r="V183" i="1"/>
  <c r="U183" i="1"/>
  <c r="S265" i="1"/>
  <c r="R286" i="1"/>
  <c r="T185" i="1" l="1"/>
  <c r="U184" i="1"/>
  <c r="V184" i="1"/>
  <c r="S266" i="1"/>
  <c r="R287" i="1"/>
  <c r="T186" i="1" l="1"/>
  <c r="V185" i="1"/>
  <c r="U185" i="1"/>
  <c r="S267" i="1"/>
  <c r="R288" i="1"/>
  <c r="T187" i="1" l="1"/>
  <c r="U186" i="1"/>
  <c r="V186" i="1"/>
  <c r="S268" i="1"/>
  <c r="R289" i="1"/>
  <c r="T188" i="1" l="1"/>
  <c r="U187" i="1"/>
  <c r="V187" i="1"/>
  <c r="S269" i="1"/>
  <c r="R290" i="1"/>
  <c r="T189" i="1" l="1"/>
  <c r="V188" i="1"/>
  <c r="U188" i="1"/>
  <c r="S270" i="1"/>
  <c r="R291" i="1"/>
  <c r="T190" i="1" l="1"/>
  <c r="V189" i="1"/>
  <c r="U189" i="1"/>
  <c r="S271" i="1"/>
  <c r="R292" i="1"/>
  <c r="T191" i="1" l="1"/>
  <c r="U190" i="1"/>
  <c r="V190" i="1"/>
  <c r="S272" i="1"/>
  <c r="R293" i="1"/>
  <c r="T192" i="1" l="1"/>
  <c r="V191" i="1"/>
  <c r="U191" i="1"/>
  <c r="S273" i="1"/>
  <c r="R294" i="1"/>
  <c r="T193" i="1" l="1"/>
  <c r="U192" i="1"/>
  <c r="V192" i="1"/>
  <c r="S274" i="1"/>
  <c r="R295" i="1"/>
  <c r="T194" i="1" l="1"/>
  <c r="V193" i="1"/>
  <c r="U193" i="1"/>
  <c r="S275" i="1"/>
  <c r="R296" i="1"/>
  <c r="T195" i="1" l="1"/>
  <c r="U194" i="1"/>
  <c r="V194" i="1"/>
  <c r="S276" i="1"/>
  <c r="R297" i="1"/>
  <c r="T196" i="1" l="1"/>
  <c r="U195" i="1"/>
  <c r="V195" i="1"/>
  <c r="S277" i="1"/>
  <c r="R298" i="1"/>
  <c r="T197" i="1" l="1"/>
  <c r="U196" i="1"/>
  <c r="V196" i="1"/>
  <c r="S278" i="1"/>
  <c r="R299" i="1"/>
  <c r="T198" i="1" l="1"/>
  <c r="V197" i="1"/>
  <c r="U197" i="1"/>
  <c r="S279" i="1"/>
  <c r="R300" i="1"/>
  <c r="T199" i="1" l="1"/>
  <c r="U198" i="1"/>
  <c r="V198" i="1"/>
  <c r="S280" i="1"/>
  <c r="R301" i="1"/>
  <c r="T200" i="1" l="1"/>
  <c r="U199" i="1"/>
  <c r="V199" i="1"/>
  <c r="S281" i="1"/>
  <c r="R302" i="1"/>
  <c r="T201" i="1" l="1"/>
  <c r="U200" i="1"/>
  <c r="V200" i="1"/>
  <c r="S282" i="1"/>
  <c r="R303" i="1"/>
  <c r="T202" i="1" l="1"/>
  <c r="U201" i="1"/>
  <c r="V201" i="1"/>
  <c r="S283" i="1"/>
  <c r="R304" i="1"/>
  <c r="T203" i="1" l="1"/>
  <c r="U202" i="1"/>
  <c r="V202" i="1"/>
  <c r="S284" i="1"/>
  <c r="R305" i="1"/>
  <c r="T204" i="1" l="1"/>
  <c r="U203" i="1"/>
  <c r="V203" i="1"/>
  <c r="S285" i="1"/>
  <c r="R306" i="1"/>
  <c r="T205" i="1" l="1"/>
  <c r="U204" i="1"/>
  <c r="V204" i="1"/>
  <c r="S286" i="1"/>
  <c r="R307" i="1"/>
  <c r="T206" i="1" l="1"/>
  <c r="U205" i="1"/>
  <c r="V205" i="1"/>
  <c r="S287" i="1"/>
  <c r="R308" i="1"/>
  <c r="T207" i="1" l="1"/>
  <c r="U206" i="1"/>
  <c r="V206" i="1"/>
  <c r="S288" i="1"/>
  <c r="R309" i="1"/>
  <c r="T208" i="1" l="1"/>
  <c r="U207" i="1"/>
  <c r="V207" i="1"/>
  <c r="S289" i="1"/>
  <c r="R310" i="1"/>
  <c r="T209" i="1" l="1"/>
  <c r="U208" i="1"/>
  <c r="V208" i="1"/>
  <c r="S290" i="1"/>
  <c r="R311" i="1"/>
  <c r="T210" i="1" l="1"/>
  <c r="U209" i="1"/>
  <c r="V209" i="1"/>
  <c r="S291" i="1"/>
  <c r="R312" i="1"/>
  <c r="T211" i="1" l="1"/>
  <c r="U210" i="1"/>
  <c r="V210" i="1"/>
  <c r="S292" i="1"/>
  <c r="R313" i="1"/>
  <c r="T212" i="1" l="1"/>
  <c r="U211" i="1"/>
  <c r="V211" i="1"/>
  <c r="S293" i="1"/>
  <c r="R314" i="1"/>
  <c r="T213" i="1" l="1"/>
  <c r="V212" i="1"/>
  <c r="U212" i="1"/>
  <c r="S294" i="1"/>
  <c r="R315" i="1"/>
  <c r="T214" i="1" l="1"/>
  <c r="U213" i="1"/>
  <c r="V213" i="1"/>
  <c r="S295" i="1"/>
  <c r="R316" i="1"/>
  <c r="T215" i="1" l="1"/>
  <c r="U214" i="1"/>
  <c r="V214" i="1"/>
  <c r="S296" i="1"/>
  <c r="R317" i="1"/>
  <c r="T216" i="1" l="1"/>
  <c r="U215" i="1"/>
  <c r="V215" i="1"/>
  <c r="S297" i="1"/>
  <c r="R318" i="1"/>
  <c r="T217" i="1" l="1"/>
  <c r="U216" i="1"/>
  <c r="V216" i="1"/>
  <c r="S298" i="1"/>
  <c r="R319" i="1"/>
  <c r="T218" i="1" l="1"/>
  <c r="U217" i="1"/>
  <c r="V217" i="1"/>
  <c r="S299" i="1"/>
  <c r="R320" i="1"/>
  <c r="T219" i="1" l="1"/>
  <c r="U218" i="1"/>
  <c r="V218" i="1"/>
  <c r="S300" i="1"/>
  <c r="R321" i="1"/>
  <c r="T220" i="1" l="1"/>
  <c r="U219" i="1"/>
  <c r="V219" i="1"/>
  <c r="S301" i="1"/>
  <c r="R322" i="1"/>
  <c r="T221" i="1" l="1"/>
  <c r="U220" i="1"/>
  <c r="V220" i="1"/>
  <c r="S302" i="1"/>
  <c r="R323" i="1"/>
  <c r="T222" i="1" l="1"/>
  <c r="U221" i="1"/>
  <c r="V221" i="1"/>
  <c r="S303" i="1"/>
  <c r="R324" i="1"/>
  <c r="T223" i="1" l="1"/>
  <c r="U222" i="1"/>
  <c r="V222" i="1"/>
  <c r="S304" i="1"/>
  <c r="R325" i="1"/>
  <c r="T224" i="1" l="1"/>
  <c r="U223" i="1"/>
  <c r="V223" i="1"/>
  <c r="S305" i="1"/>
  <c r="R326" i="1"/>
  <c r="T225" i="1" l="1"/>
  <c r="V224" i="1"/>
  <c r="U224" i="1"/>
  <c r="S306" i="1"/>
  <c r="R327" i="1"/>
  <c r="T226" i="1" l="1"/>
  <c r="U225" i="1"/>
  <c r="V225" i="1"/>
  <c r="S307" i="1"/>
  <c r="R328" i="1"/>
  <c r="T227" i="1" l="1"/>
  <c r="V226" i="1"/>
  <c r="U226" i="1"/>
  <c r="S308" i="1"/>
  <c r="R329" i="1"/>
  <c r="T228" i="1" l="1"/>
  <c r="V227" i="1"/>
  <c r="U227" i="1"/>
  <c r="S309" i="1"/>
  <c r="R330" i="1"/>
  <c r="T229" i="1" l="1"/>
  <c r="V228" i="1"/>
  <c r="U228" i="1"/>
  <c r="S310" i="1"/>
  <c r="R331" i="1"/>
  <c r="T230" i="1" l="1"/>
  <c r="V229" i="1"/>
  <c r="U229" i="1"/>
  <c r="S311" i="1"/>
  <c r="R332" i="1"/>
  <c r="T231" i="1" l="1"/>
  <c r="U230" i="1"/>
  <c r="V230" i="1"/>
  <c r="S312" i="1"/>
  <c r="R333" i="1"/>
  <c r="T232" i="1" l="1"/>
  <c r="V231" i="1"/>
  <c r="U231" i="1"/>
  <c r="S313" i="1"/>
  <c r="R334" i="1"/>
  <c r="T233" i="1" l="1"/>
  <c r="U232" i="1"/>
  <c r="V232" i="1"/>
  <c r="S314" i="1"/>
  <c r="R335" i="1"/>
  <c r="T234" i="1" l="1"/>
  <c r="U233" i="1"/>
  <c r="V233" i="1"/>
  <c r="S315" i="1"/>
  <c r="R336" i="1"/>
  <c r="T235" i="1" l="1"/>
  <c r="U234" i="1"/>
  <c r="V234" i="1"/>
  <c r="S316" i="1"/>
  <c r="R337" i="1"/>
  <c r="T236" i="1" l="1"/>
  <c r="V235" i="1"/>
  <c r="U235" i="1"/>
  <c r="S317" i="1"/>
  <c r="R338" i="1"/>
  <c r="T237" i="1" l="1"/>
  <c r="U236" i="1"/>
  <c r="V236" i="1"/>
  <c r="S318" i="1"/>
  <c r="R339" i="1"/>
  <c r="T238" i="1" l="1"/>
  <c r="V237" i="1"/>
  <c r="U237" i="1"/>
  <c r="S319" i="1"/>
  <c r="R340" i="1"/>
  <c r="T239" i="1" l="1"/>
  <c r="V238" i="1"/>
  <c r="U238" i="1"/>
  <c r="S320" i="1"/>
  <c r="R341" i="1"/>
  <c r="T240" i="1" l="1"/>
  <c r="U239" i="1"/>
  <c r="V239" i="1"/>
  <c r="S321" i="1"/>
  <c r="R342" i="1"/>
  <c r="T241" i="1" l="1"/>
  <c r="V240" i="1"/>
  <c r="U240" i="1"/>
  <c r="S322" i="1"/>
  <c r="R343" i="1"/>
  <c r="T242" i="1" l="1"/>
  <c r="V241" i="1"/>
  <c r="U241" i="1"/>
  <c r="S323" i="1"/>
  <c r="R344" i="1"/>
  <c r="T243" i="1" l="1"/>
  <c r="V242" i="1"/>
  <c r="U242" i="1"/>
  <c r="S324" i="1"/>
  <c r="R345" i="1"/>
  <c r="T244" i="1" l="1"/>
  <c r="V243" i="1"/>
  <c r="U243" i="1"/>
  <c r="S325" i="1"/>
  <c r="R346" i="1"/>
  <c r="T245" i="1" l="1"/>
  <c r="V244" i="1"/>
  <c r="U244" i="1"/>
  <c r="S326" i="1"/>
  <c r="R347" i="1"/>
  <c r="T246" i="1" l="1"/>
  <c r="V245" i="1"/>
  <c r="U245" i="1"/>
  <c r="S327" i="1"/>
  <c r="R348" i="1"/>
  <c r="T247" i="1" l="1"/>
  <c r="V246" i="1"/>
  <c r="U246" i="1"/>
  <c r="S328" i="1"/>
  <c r="R349" i="1"/>
  <c r="T248" i="1" l="1"/>
  <c r="V247" i="1"/>
  <c r="U247" i="1"/>
  <c r="S329" i="1"/>
  <c r="R350" i="1"/>
  <c r="T249" i="1" l="1"/>
  <c r="V248" i="1"/>
  <c r="U248" i="1"/>
  <c r="S330" i="1"/>
  <c r="R351" i="1"/>
  <c r="T250" i="1" l="1"/>
  <c r="V249" i="1"/>
  <c r="U249" i="1"/>
  <c r="S331" i="1"/>
  <c r="R352" i="1"/>
  <c r="T251" i="1" l="1"/>
  <c r="V250" i="1"/>
  <c r="U250" i="1"/>
  <c r="S332" i="1"/>
  <c r="R353" i="1"/>
  <c r="T252" i="1" l="1"/>
  <c r="U251" i="1"/>
  <c r="V251" i="1"/>
  <c r="S333" i="1"/>
  <c r="R354" i="1"/>
  <c r="T253" i="1" l="1"/>
  <c r="V252" i="1"/>
  <c r="U252" i="1"/>
  <c r="S334" i="1"/>
  <c r="R355" i="1"/>
  <c r="T254" i="1" l="1"/>
  <c r="V253" i="1"/>
  <c r="U253" i="1"/>
  <c r="S335" i="1"/>
  <c r="R356" i="1"/>
  <c r="T255" i="1" l="1"/>
  <c r="V254" i="1"/>
  <c r="U254" i="1"/>
  <c r="S336" i="1"/>
  <c r="R357" i="1"/>
  <c r="T256" i="1" l="1"/>
  <c r="U255" i="1"/>
  <c r="V255" i="1"/>
  <c r="S337" i="1"/>
  <c r="R358" i="1"/>
  <c r="T257" i="1" l="1"/>
  <c r="V256" i="1"/>
  <c r="U256" i="1"/>
  <c r="S338" i="1"/>
  <c r="R359" i="1"/>
  <c r="T258" i="1" l="1"/>
  <c r="V257" i="1"/>
  <c r="U257" i="1"/>
  <c r="S339" i="1"/>
  <c r="R360" i="1"/>
  <c r="T259" i="1" l="1"/>
  <c r="V258" i="1"/>
  <c r="U258" i="1"/>
  <c r="S340" i="1"/>
  <c r="R361" i="1"/>
  <c r="T260" i="1" l="1"/>
  <c r="U259" i="1"/>
  <c r="V259" i="1"/>
  <c r="S341" i="1"/>
  <c r="R362" i="1"/>
  <c r="T261" i="1" l="1"/>
  <c r="V260" i="1"/>
  <c r="U260" i="1"/>
  <c r="S342" i="1"/>
  <c r="R363" i="1"/>
  <c r="T262" i="1" l="1"/>
  <c r="V261" i="1"/>
  <c r="U261" i="1"/>
  <c r="S343" i="1"/>
  <c r="R364" i="1"/>
  <c r="T263" i="1" l="1"/>
  <c r="V262" i="1"/>
  <c r="U262" i="1"/>
  <c r="S344" i="1"/>
  <c r="R365" i="1"/>
  <c r="T264" i="1" l="1"/>
  <c r="V263" i="1"/>
  <c r="U263" i="1"/>
  <c r="S345" i="1"/>
  <c r="R366" i="1"/>
  <c r="T265" i="1" l="1"/>
  <c r="V264" i="1"/>
  <c r="U264" i="1"/>
  <c r="S346" i="1"/>
  <c r="R367" i="1"/>
  <c r="T266" i="1" l="1"/>
  <c r="V265" i="1"/>
  <c r="U265" i="1"/>
  <c r="S347" i="1"/>
  <c r="R368" i="1"/>
  <c r="T267" i="1" l="1"/>
  <c r="U266" i="1"/>
  <c r="V266" i="1"/>
  <c r="S348" i="1"/>
  <c r="R369" i="1"/>
  <c r="T268" i="1" l="1"/>
  <c r="U267" i="1"/>
  <c r="V267" i="1"/>
  <c r="S349" i="1"/>
  <c r="R370" i="1"/>
  <c r="T269" i="1" l="1"/>
  <c r="U268" i="1"/>
  <c r="V268" i="1"/>
  <c r="S350" i="1"/>
  <c r="R371" i="1"/>
  <c r="T270" i="1" l="1"/>
  <c r="U269" i="1"/>
  <c r="V269" i="1"/>
  <c r="S351" i="1"/>
  <c r="R372" i="1"/>
  <c r="T271" i="1" l="1"/>
  <c r="U270" i="1"/>
  <c r="V270" i="1"/>
  <c r="S352" i="1"/>
  <c r="R373" i="1"/>
  <c r="T272" i="1" l="1"/>
  <c r="V271" i="1"/>
  <c r="U271" i="1"/>
  <c r="S353" i="1"/>
  <c r="R374" i="1"/>
  <c r="T273" i="1" l="1"/>
  <c r="V272" i="1"/>
  <c r="U272" i="1"/>
  <c r="S354" i="1"/>
  <c r="R375" i="1"/>
  <c r="T274" i="1" l="1"/>
  <c r="U273" i="1"/>
  <c r="V273" i="1"/>
  <c r="S355" i="1"/>
  <c r="R376" i="1"/>
  <c r="T275" i="1" l="1"/>
  <c r="U274" i="1"/>
  <c r="V274" i="1"/>
  <c r="S356" i="1"/>
  <c r="R377" i="1"/>
  <c r="T276" i="1" l="1"/>
  <c r="V275" i="1"/>
  <c r="U275" i="1"/>
  <c r="S357" i="1"/>
  <c r="R378" i="1"/>
  <c r="T277" i="1" l="1"/>
  <c r="V276" i="1"/>
  <c r="U276" i="1"/>
  <c r="S358" i="1"/>
  <c r="R379" i="1"/>
  <c r="T278" i="1" l="1"/>
  <c r="V277" i="1"/>
  <c r="U277" i="1"/>
  <c r="S359" i="1"/>
  <c r="R380" i="1"/>
  <c r="T279" i="1" l="1"/>
  <c r="V278" i="1"/>
  <c r="U278" i="1"/>
  <c r="S360" i="1"/>
  <c r="R381" i="1"/>
  <c r="T280" i="1" l="1"/>
  <c r="U279" i="1"/>
  <c r="V279" i="1"/>
  <c r="S361" i="1"/>
  <c r="T281" i="1" l="1"/>
  <c r="V280" i="1"/>
  <c r="U280" i="1"/>
  <c r="S362" i="1"/>
  <c r="T282" i="1" l="1"/>
  <c r="V281" i="1"/>
  <c r="U281" i="1"/>
  <c r="S363" i="1"/>
  <c r="T283" i="1" l="1"/>
  <c r="V282" i="1"/>
  <c r="U282" i="1"/>
  <c r="S364" i="1"/>
  <c r="T284" i="1" l="1"/>
  <c r="V283" i="1"/>
  <c r="U283" i="1"/>
  <c r="S365" i="1"/>
  <c r="T285" i="1" l="1"/>
  <c r="V284" i="1"/>
  <c r="U284" i="1"/>
  <c r="S366" i="1"/>
  <c r="T286" i="1" l="1"/>
  <c r="U285" i="1"/>
  <c r="V285" i="1"/>
  <c r="S367" i="1"/>
  <c r="T287" i="1" l="1"/>
  <c r="U286" i="1"/>
  <c r="V286" i="1"/>
  <c r="S368" i="1"/>
  <c r="T288" i="1" l="1"/>
  <c r="V287" i="1"/>
  <c r="U287" i="1"/>
  <c r="S369" i="1"/>
  <c r="T289" i="1" l="1"/>
  <c r="U288" i="1"/>
  <c r="V288" i="1"/>
  <c r="S370" i="1"/>
  <c r="T290" i="1" l="1"/>
  <c r="U289" i="1"/>
  <c r="V289" i="1"/>
  <c r="S371" i="1"/>
  <c r="T291" i="1" l="1"/>
  <c r="V290" i="1"/>
  <c r="U290" i="1"/>
  <c r="S372" i="1"/>
  <c r="T292" i="1" l="1"/>
  <c r="V291" i="1"/>
  <c r="U291" i="1"/>
  <c r="S373" i="1"/>
  <c r="T293" i="1" l="1"/>
  <c r="V292" i="1"/>
  <c r="U292" i="1"/>
  <c r="S374" i="1"/>
  <c r="T294" i="1" l="1"/>
  <c r="V293" i="1"/>
  <c r="U293" i="1"/>
  <c r="S375" i="1"/>
  <c r="T295" i="1" l="1"/>
  <c r="U294" i="1"/>
  <c r="V294" i="1"/>
  <c r="S376" i="1"/>
  <c r="T296" i="1" l="1"/>
  <c r="V295" i="1"/>
  <c r="U295" i="1"/>
  <c r="S377" i="1"/>
  <c r="T297" i="1" l="1"/>
  <c r="V296" i="1"/>
  <c r="U296" i="1"/>
  <c r="S378" i="1"/>
  <c r="T298" i="1" l="1"/>
  <c r="V297" i="1"/>
  <c r="U297" i="1"/>
  <c r="S379" i="1"/>
  <c r="T299" i="1" l="1"/>
  <c r="V298" i="1"/>
  <c r="U298" i="1"/>
  <c r="S380" i="1"/>
  <c r="T300" i="1" l="1"/>
  <c r="V299" i="1"/>
  <c r="U299" i="1"/>
  <c r="S381" i="1"/>
  <c r="T301" i="1" l="1"/>
  <c r="U300" i="1"/>
  <c r="V300" i="1"/>
  <c r="T302" i="1" l="1"/>
  <c r="U301" i="1"/>
  <c r="V301" i="1"/>
  <c r="T303" i="1" l="1"/>
  <c r="V302" i="1"/>
  <c r="U302" i="1"/>
  <c r="T304" i="1" l="1"/>
  <c r="U303" i="1"/>
  <c r="V303" i="1"/>
  <c r="T305" i="1" l="1"/>
  <c r="U304" i="1"/>
  <c r="V304" i="1"/>
  <c r="T306" i="1" l="1"/>
  <c r="U305" i="1"/>
  <c r="V305" i="1"/>
  <c r="T307" i="1" l="1"/>
  <c r="V306" i="1"/>
  <c r="U306" i="1"/>
  <c r="T308" i="1" l="1"/>
  <c r="V307" i="1"/>
  <c r="U307" i="1"/>
  <c r="T309" i="1" l="1"/>
  <c r="U308" i="1"/>
  <c r="V308" i="1"/>
  <c r="T310" i="1" l="1"/>
  <c r="U309" i="1"/>
  <c r="V309" i="1"/>
  <c r="T311" i="1" l="1"/>
  <c r="V310" i="1"/>
  <c r="U310" i="1"/>
  <c r="T312" i="1" l="1"/>
  <c r="U311" i="1"/>
  <c r="V311" i="1"/>
  <c r="T313" i="1" l="1"/>
  <c r="U312" i="1"/>
  <c r="V312" i="1"/>
  <c r="T314" i="1" l="1"/>
  <c r="U313" i="1"/>
  <c r="V313" i="1"/>
  <c r="T315" i="1" l="1"/>
  <c r="U314" i="1"/>
  <c r="V314" i="1"/>
  <c r="T316" i="1" l="1"/>
  <c r="U315" i="1"/>
  <c r="V315" i="1"/>
  <c r="T317" i="1" l="1"/>
  <c r="V316" i="1"/>
  <c r="U316" i="1"/>
  <c r="T318" i="1" l="1"/>
  <c r="U317" i="1"/>
  <c r="V317" i="1"/>
  <c r="T319" i="1" l="1"/>
  <c r="V318" i="1"/>
  <c r="U318" i="1"/>
  <c r="T320" i="1" l="1"/>
  <c r="V319" i="1"/>
  <c r="U319" i="1"/>
  <c r="T321" i="1" l="1"/>
  <c r="U320" i="1"/>
  <c r="V320" i="1"/>
  <c r="T322" i="1" l="1"/>
  <c r="U321" i="1"/>
  <c r="V321" i="1"/>
  <c r="T323" i="1" l="1"/>
  <c r="V322" i="1"/>
  <c r="U322" i="1"/>
  <c r="T324" i="1" l="1"/>
  <c r="U323" i="1"/>
  <c r="V323" i="1"/>
  <c r="T325" i="1" l="1"/>
  <c r="V324" i="1"/>
  <c r="U324" i="1"/>
  <c r="T326" i="1" l="1"/>
  <c r="U325" i="1"/>
  <c r="V325" i="1"/>
  <c r="T327" i="1" l="1"/>
  <c r="U326" i="1"/>
  <c r="V326" i="1"/>
  <c r="T328" i="1" l="1"/>
  <c r="V327" i="1"/>
  <c r="U327" i="1"/>
  <c r="T329" i="1" l="1"/>
  <c r="V328" i="1"/>
  <c r="U328" i="1"/>
  <c r="T330" i="1" l="1"/>
  <c r="U329" i="1"/>
  <c r="V329" i="1"/>
  <c r="T331" i="1" l="1"/>
  <c r="U330" i="1"/>
  <c r="V330" i="1"/>
  <c r="T332" i="1" l="1"/>
  <c r="U331" i="1"/>
  <c r="V331" i="1"/>
  <c r="T333" i="1" l="1"/>
  <c r="U332" i="1"/>
  <c r="V332" i="1"/>
  <c r="T334" i="1" l="1"/>
  <c r="U333" i="1"/>
  <c r="V333" i="1"/>
  <c r="T335" i="1" l="1"/>
  <c r="V334" i="1"/>
  <c r="U334" i="1"/>
  <c r="T336" i="1" l="1"/>
  <c r="V335" i="1"/>
  <c r="U335" i="1"/>
  <c r="T337" i="1" l="1"/>
  <c r="V336" i="1"/>
  <c r="U336" i="1"/>
  <c r="T338" i="1" l="1"/>
  <c r="U337" i="1"/>
  <c r="V337" i="1"/>
  <c r="T339" i="1" l="1"/>
  <c r="U338" i="1"/>
  <c r="V338" i="1"/>
  <c r="T340" i="1" l="1"/>
  <c r="V339" i="1"/>
  <c r="U339" i="1"/>
  <c r="T341" i="1" l="1"/>
  <c r="U340" i="1"/>
  <c r="V340" i="1"/>
  <c r="T342" i="1" l="1"/>
  <c r="U341" i="1"/>
  <c r="V341" i="1"/>
  <c r="T343" i="1" l="1"/>
  <c r="U342" i="1"/>
  <c r="V342" i="1"/>
  <c r="T344" i="1" l="1"/>
  <c r="V343" i="1"/>
  <c r="U343" i="1"/>
  <c r="T345" i="1" l="1"/>
  <c r="U344" i="1"/>
  <c r="V344" i="1"/>
  <c r="T346" i="1" l="1"/>
  <c r="U345" i="1"/>
  <c r="V345" i="1"/>
  <c r="T347" i="1" l="1"/>
  <c r="U346" i="1"/>
  <c r="V346" i="1"/>
  <c r="T348" i="1" l="1"/>
  <c r="U347" i="1"/>
  <c r="V347" i="1"/>
  <c r="T349" i="1" l="1"/>
  <c r="U348" i="1"/>
  <c r="V348" i="1"/>
  <c r="T350" i="1" l="1"/>
  <c r="U349" i="1"/>
  <c r="V349" i="1"/>
  <c r="T351" i="1" l="1"/>
  <c r="U350" i="1"/>
  <c r="V350" i="1"/>
  <c r="T352" i="1" l="1"/>
  <c r="V351" i="1"/>
  <c r="U351" i="1"/>
  <c r="T353" i="1" l="1"/>
  <c r="U352" i="1"/>
  <c r="V352" i="1"/>
  <c r="T354" i="1" l="1"/>
  <c r="V353" i="1"/>
  <c r="U353" i="1"/>
  <c r="T355" i="1" l="1"/>
  <c r="V354" i="1"/>
  <c r="U354" i="1"/>
  <c r="T356" i="1" l="1"/>
  <c r="U355" i="1"/>
  <c r="V355" i="1"/>
  <c r="T357" i="1" l="1"/>
  <c r="U356" i="1"/>
  <c r="V356" i="1"/>
  <c r="T358" i="1" l="1"/>
  <c r="U357" i="1"/>
  <c r="V357" i="1"/>
  <c r="T359" i="1" l="1"/>
  <c r="V358" i="1"/>
  <c r="U358" i="1"/>
  <c r="T360" i="1" l="1"/>
  <c r="V359" i="1"/>
  <c r="U359" i="1"/>
  <c r="T361" i="1" l="1"/>
  <c r="U360" i="1"/>
  <c r="V360" i="1"/>
  <c r="T362" i="1" l="1"/>
  <c r="U361" i="1"/>
  <c r="V361" i="1"/>
  <c r="T363" i="1" l="1"/>
  <c r="U362" i="1"/>
  <c r="V362" i="1"/>
  <c r="T364" i="1" l="1"/>
  <c r="U363" i="1"/>
  <c r="V363" i="1"/>
  <c r="T365" i="1" l="1"/>
  <c r="U364" i="1"/>
  <c r="V364" i="1"/>
  <c r="T366" i="1" l="1"/>
  <c r="U365" i="1"/>
  <c r="V365" i="1"/>
  <c r="T367" i="1" l="1"/>
  <c r="U366" i="1"/>
  <c r="V366" i="1"/>
  <c r="T368" i="1" l="1"/>
  <c r="U367" i="1"/>
  <c r="V367" i="1"/>
  <c r="T369" i="1" l="1"/>
  <c r="U368" i="1"/>
  <c r="V368" i="1"/>
  <c r="T370" i="1" l="1"/>
  <c r="U369" i="1"/>
  <c r="V369" i="1"/>
  <c r="T371" i="1" l="1"/>
  <c r="U370" i="1"/>
  <c r="V370" i="1"/>
  <c r="T372" i="1" l="1"/>
  <c r="U371" i="1"/>
  <c r="V371" i="1"/>
  <c r="T373" i="1" l="1"/>
  <c r="U372" i="1"/>
  <c r="V372" i="1"/>
  <c r="T374" i="1" l="1"/>
  <c r="U373" i="1"/>
  <c r="V373" i="1"/>
  <c r="T375" i="1" l="1"/>
  <c r="V374" i="1"/>
  <c r="U374" i="1"/>
  <c r="T376" i="1" l="1"/>
  <c r="U375" i="1"/>
  <c r="V375" i="1"/>
  <c r="T377" i="1" l="1"/>
  <c r="V376" i="1"/>
  <c r="U376" i="1"/>
  <c r="T378" i="1" l="1"/>
  <c r="V377" i="1"/>
  <c r="U377" i="1"/>
  <c r="T379" i="1" l="1"/>
  <c r="U378" i="1"/>
  <c r="V378" i="1"/>
  <c r="T380" i="1" l="1"/>
  <c r="U379" i="1"/>
  <c r="V379" i="1"/>
  <c r="T381" i="1" l="1"/>
  <c r="V380" i="1"/>
  <c r="U380" i="1"/>
  <c r="V381" i="1" l="1"/>
  <c r="U381" i="1"/>
  <c r="X1" i="1" l="1"/>
  <c r="X2" i="1"/>
  <c r="W1" i="1"/>
  <c r="W2" i="1"/>
  <c r="X381" i="1" l="1"/>
  <c r="W43" i="1"/>
  <c r="W188" i="1"/>
  <c r="W269" i="1"/>
  <c r="W132" i="1"/>
  <c r="W213" i="1"/>
  <c r="W76" i="1"/>
  <c r="W162" i="1"/>
  <c r="W20" i="1"/>
  <c r="W218" i="1"/>
  <c r="W81" i="1"/>
  <c r="W226" i="1"/>
  <c r="W89" i="1"/>
  <c r="W239" i="1"/>
  <c r="W174" i="1"/>
  <c r="W32" i="1"/>
  <c r="W252" i="1"/>
  <c r="W182" i="1"/>
  <c r="W40" i="1"/>
  <c r="W260" i="1"/>
  <c r="W42" i="1"/>
  <c r="W262" i="1"/>
  <c r="W125" i="1"/>
  <c r="W206" i="1"/>
  <c r="W69" i="1"/>
  <c r="W155" i="1"/>
  <c r="W13" i="1"/>
  <c r="W99" i="1"/>
  <c r="W53" i="1"/>
  <c r="W217" i="1"/>
  <c r="W80" i="1"/>
  <c r="W296" i="1"/>
  <c r="W225" i="1"/>
  <c r="W88" i="1"/>
  <c r="W300" i="1"/>
  <c r="W264" i="1"/>
  <c r="W111" i="1"/>
  <c r="W251" i="1"/>
  <c r="W256" i="1"/>
  <c r="W119" i="1"/>
  <c r="W259" i="1"/>
  <c r="W214" i="1"/>
  <c r="W30" i="1"/>
  <c r="W113" i="1"/>
  <c r="W258" i="1"/>
  <c r="W21" i="1"/>
  <c r="W64" i="1"/>
  <c r="W209" i="1"/>
  <c r="W169" i="1"/>
  <c r="W107" i="1"/>
  <c r="W247" i="1"/>
  <c r="W51" i="1"/>
  <c r="W7" i="1"/>
  <c r="W277" i="1"/>
  <c r="W140" i="1"/>
  <c r="W221" i="1"/>
  <c r="W84" i="1"/>
  <c r="W62" i="1"/>
  <c r="W282" i="1"/>
  <c r="W145" i="1"/>
  <c r="W70" i="1"/>
  <c r="W290" i="1"/>
  <c r="W74" i="1"/>
  <c r="W293" i="1"/>
  <c r="W18" i="1"/>
  <c r="W238" i="1"/>
  <c r="W101" i="1"/>
  <c r="W187" i="1"/>
  <c r="W45" i="1"/>
  <c r="W131" i="1"/>
  <c r="W117" i="1"/>
  <c r="W249" i="1"/>
  <c r="W112" i="1"/>
  <c r="W257" i="1"/>
  <c r="W120" i="1"/>
  <c r="W294" i="1"/>
  <c r="W143" i="1"/>
  <c r="W283" i="1"/>
  <c r="W288" i="1"/>
  <c r="W151" i="1"/>
  <c r="W291" i="1"/>
  <c r="W11" i="1"/>
  <c r="W156" i="1"/>
  <c r="W237" i="1"/>
  <c r="W100" i="1"/>
  <c r="W186" i="1"/>
  <c r="W44" i="1"/>
  <c r="W130" i="1"/>
  <c r="W191" i="1"/>
  <c r="W49" i="1"/>
  <c r="W194" i="1"/>
  <c r="W57" i="1"/>
  <c r="W180" i="1"/>
  <c r="W142" i="1"/>
  <c r="W220" i="1"/>
  <c r="W150" i="1"/>
  <c r="W228" i="1"/>
  <c r="W52" i="1"/>
  <c r="W250" i="1"/>
  <c r="W38" i="1"/>
  <c r="W121" i="1"/>
  <c r="W201" i="1"/>
  <c r="W284" i="1"/>
  <c r="W299" i="1"/>
  <c r="W138" i="1"/>
  <c r="W82" i="1"/>
  <c r="W297" i="1"/>
  <c r="W26" i="1"/>
  <c r="W246" i="1"/>
  <c r="W109" i="1"/>
  <c r="W5" i="1"/>
  <c r="W189" i="1"/>
  <c r="W31" i="1"/>
  <c r="W176" i="1"/>
  <c r="W181" i="1"/>
  <c r="W39" i="1"/>
  <c r="W184" i="1"/>
  <c r="W153" i="1"/>
  <c r="W85" i="1"/>
  <c r="W233" i="1"/>
  <c r="W96" i="1"/>
  <c r="W241" i="1"/>
  <c r="W104" i="1"/>
  <c r="W229" i="1"/>
  <c r="W92" i="1"/>
  <c r="W178" i="1"/>
  <c r="W36" i="1"/>
  <c r="W122" i="1"/>
  <c r="W108" i="1"/>
  <c r="W10" i="1"/>
  <c r="W280" i="1"/>
  <c r="W267" i="1"/>
  <c r="W135" i="1"/>
  <c r="W295" i="1"/>
  <c r="W86" i="1"/>
  <c r="W292" i="1"/>
  <c r="W197" i="1"/>
  <c r="W60" i="1"/>
  <c r="W146" i="1"/>
  <c r="W90" i="1"/>
  <c r="W301" i="1"/>
  <c r="W34" i="1"/>
  <c r="W254" i="1"/>
  <c r="W248" i="1"/>
  <c r="W95" i="1"/>
  <c r="W235" i="1"/>
  <c r="W240" i="1"/>
  <c r="W103" i="1"/>
  <c r="W243" i="1"/>
  <c r="W46" i="1"/>
  <c r="W266" i="1"/>
  <c r="W129" i="1"/>
  <c r="W54" i="1"/>
  <c r="W274" i="1"/>
  <c r="W137" i="1"/>
  <c r="W139" i="1"/>
  <c r="W279" i="1"/>
  <c r="W83" i="1"/>
  <c r="W223" i="1"/>
  <c r="W27" i="1"/>
  <c r="W172" i="1"/>
  <c r="W253" i="1"/>
  <c r="W116" i="1"/>
  <c r="W94" i="1"/>
  <c r="W177" i="1"/>
  <c r="W102" i="1"/>
  <c r="W185" i="1"/>
  <c r="W149" i="1"/>
  <c r="W265" i="1"/>
  <c r="W128" i="1"/>
  <c r="W273" i="1"/>
  <c r="W136" i="1"/>
  <c r="W163" i="1"/>
  <c r="W281" i="1"/>
  <c r="W152" i="1"/>
  <c r="W33" i="1"/>
  <c r="W55" i="1"/>
  <c r="W9" i="1"/>
  <c r="W230" i="1"/>
  <c r="W93" i="1"/>
  <c r="W179" i="1"/>
  <c r="W37" i="1"/>
  <c r="W123" i="1"/>
  <c r="W263" i="1"/>
  <c r="W67" i="1"/>
  <c r="W271" i="1"/>
  <c r="W190" i="1"/>
  <c r="W48" i="1"/>
  <c r="W268" i="1"/>
  <c r="W193" i="1"/>
  <c r="W56" i="1"/>
  <c r="W276" i="1"/>
  <c r="W232" i="1"/>
  <c r="W79" i="1"/>
  <c r="W219" i="1"/>
  <c r="W224" i="1"/>
  <c r="W87" i="1"/>
  <c r="W227" i="1"/>
  <c r="W106" i="1"/>
  <c r="W50" i="1"/>
  <c r="W270" i="1"/>
  <c r="W133" i="1"/>
  <c r="W66" i="1"/>
  <c r="W207" i="1"/>
  <c r="W16" i="1"/>
  <c r="W166" i="1"/>
  <c r="W244" i="1"/>
  <c r="W47" i="1"/>
  <c r="W192" i="1"/>
  <c r="W41" i="1"/>
  <c r="W202" i="1"/>
  <c r="W65" i="1"/>
  <c r="W210" i="1"/>
  <c r="W73" i="1"/>
  <c r="W198" i="1"/>
  <c r="W61" i="1"/>
  <c r="W147" i="1"/>
  <c r="W287" i="1"/>
  <c r="W91" i="1"/>
  <c r="W77" i="1"/>
  <c r="W286" i="1"/>
  <c r="W127" i="1"/>
  <c r="W272" i="1"/>
  <c r="W275" i="1"/>
  <c r="W78" i="1"/>
  <c r="W161" i="1"/>
  <c r="W72" i="1"/>
  <c r="W171" i="1"/>
  <c r="W29" i="1"/>
  <c r="W115" i="1"/>
  <c r="W255" i="1"/>
  <c r="W59" i="1"/>
  <c r="W199" i="1"/>
  <c r="W285" i="1"/>
  <c r="W148" i="1"/>
  <c r="W126" i="1"/>
  <c r="W204" i="1"/>
  <c r="W134" i="1"/>
  <c r="W212" i="1"/>
  <c r="W173" i="1"/>
  <c r="W15" i="1"/>
  <c r="W160" i="1"/>
  <c r="W165" i="1"/>
  <c r="W23" i="1"/>
  <c r="W168" i="1"/>
  <c r="W170" i="1"/>
  <c r="W28" i="1"/>
  <c r="W114" i="1"/>
  <c r="W58" i="1"/>
  <c r="W278" i="1"/>
  <c r="W141" i="1"/>
  <c r="W222" i="1"/>
  <c r="W216" i="1"/>
  <c r="W63" i="1"/>
  <c r="W203" i="1"/>
  <c r="W208" i="1"/>
  <c r="W71" i="1"/>
  <c r="W211" i="1"/>
  <c r="W14" i="1"/>
  <c r="W234" i="1"/>
  <c r="W97" i="1"/>
  <c r="W22" i="1"/>
  <c r="W242" i="1"/>
  <c r="W105" i="1"/>
  <c r="W157" i="1"/>
  <c r="W144" i="1"/>
  <c r="W289" i="1"/>
  <c r="W175" i="1"/>
  <c r="W195" i="1"/>
  <c r="W261" i="1"/>
  <c r="W124" i="1"/>
  <c r="W205" i="1"/>
  <c r="W68" i="1"/>
  <c r="W154" i="1"/>
  <c r="W12" i="1"/>
  <c r="W98" i="1"/>
  <c r="W302" i="1"/>
  <c r="W159" i="1"/>
  <c r="W17" i="1"/>
  <c r="W298" i="1"/>
  <c r="W167" i="1"/>
  <c r="W25" i="1"/>
  <c r="W110" i="1"/>
  <c r="W8" i="1"/>
  <c r="W118" i="1"/>
  <c r="W196" i="1"/>
  <c r="W75" i="1"/>
  <c r="W215" i="1"/>
  <c r="W19" i="1"/>
  <c r="W164" i="1"/>
  <c r="W245" i="1"/>
  <c r="W231" i="1"/>
  <c r="W35" i="1"/>
  <c r="W158" i="1"/>
  <c r="W236" i="1"/>
  <c r="W24" i="1"/>
  <c r="W200" i="1"/>
  <c r="W6" i="1"/>
  <c r="W183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X151" i="1"/>
  <c r="X95" i="1"/>
  <c r="X283" i="1"/>
  <c r="X241" i="1"/>
  <c r="X292" i="1"/>
  <c r="X39" i="1"/>
  <c r="X222" i="1"/>
  <c r="X126" i="1"/>
  <c r="X84" i="1"/>
  <c r="X187" i="1"/>
  <c r="X131" i="1"/>
  <c r="X50" i="1"/>
  <c r="X24" i="1"/>
  <c r="X302" i="1"/>
  <c r="X75" i="1"/>
  <c r="X19" i="1"/>
  <c r="X118" i="1"/>
  <c r="X76" i="1"/>
  <c r="X55" i="1"/>
  <c r="X231" i="1"/>
  <c r="X142" i="1"/>
  <c r="X100" i="1"/>
  <c r="X202" i="1"/>
  <c r="X157" i="1"/>
  <c r="X30" i="1"/>
  <c r="X270" i="1"/>
  <c r="X277" i="1"/>
  <c r="X186" i="1"/>
  <c r="X133" i="1"/>
  <c r="X137" i="1"/>
  <c r="X81" i="1"/>
  <c r="X228" i="1"/>
  <c r="X288" i="1"/>
  <c r="X246" i="1"/>
  <c r="X25" i="1"/>
  <c r="X215" i="1"/>
  <c r="X80" i="1"/>
  <c r="X210" i="1"/>
  <c r="X173" i="1"/>
  <c r="X46" i="1"/>
  <c r="X286" i="1"/>
  <c r="X301" i="1"/>
  <c r="X117" i="1"/>
  <c r="X61" i="1"/>
  <c r="X232" i="1"/>
  <c r="X239" i="1"/>
  <c r="X72" i="1"/>
  <c r="X41" i="1"/>
  <c r="X223" i="1"/>
  <c r="X96" i="1"/>
  <c r="X170" i="1"/>
  <c r="X195" i="1"/>
  <c r="X143" i="1"/>
  <c r="X266" i="1"/>
  <c r="X289" i="1"/>
  <c r="X26" i="1"/>
  <c r="X105" i="1"/>
  <c r="X49" i="1"/>
  <c r="X160" i="1"/>
  <c r="X256" i="1"/>
  <c r="X279" i="1"/>
  <c r="X227" i="1"/>
  <c r="X199" i="1"/>
  <c r="X48" i="1"/>
  <c r="X90" i="1"/>
  <c r="X37" i="1"/>
  <c r="X221" i="1"/>
  <c r="X193" i="1"/>
  <c r="X114" i="1"/>
  <c r="X88" i="1"/>
  <c r="X139" i="1"/>
  <c r="X83" i="1"/>
  <c r="X284" i="1"/>
  <c r="X73" i="1"/>
  <c r="X17" i="1"/>
  <c r="X128" i="1"/>
  <c r="X247" i="1"/>
  <c r="X211" i="1"/>
  <c r="X175" i="1"/>
  <c r="X16" i="1"/>
  <c r="X257" i="1"/>
  <c r="X276" i="1"/>
  <c r="X155" i="1"/>
  <c r="X99" i="1"/>
  <c r="X18" i="1"/>
  <c r="X274" i="1"/>
  <c r="X294" i="1"/>
  <c r="X43" i="1"/>
  <c r="X224" i="1"/>
  <c r="X150" i="1"/>
  <c r="X108" i="1"/>
  <c r="X290" i="1"/>
  <c r="X298" i="1"/>
  <c r="X219" i="1"/>
  <c r="X191" i="1"/>
  <c r="X32" i="1"/>
  <c r="X106" i="1"/>
  <c r="X135" i="1"/>
  <c r="X79" i="1"/>
  <c r="X267" i="1"/>
  <c r="X180" i="1"/>
  <c r="X244" i="1"/>
  <c r="X91" i="1"/>
  <c r="X35" i="1"/>
  <c r="X237" i="1"/>
  <c r="X275" i="1"/>
  <c r="X188" i="1"/>
  <c r="X220" i="1"/>
  <c r="X192" i="1"/>
  <c r="X86" i="1"/>
  <c r="X44" i="1"/>
  <c r="X229" i="1"/>
  <c r="X200" i="1"/>
  <c r="X134" i="1"/>
  <c r="X92" i="1"/>
  <c r="X153" i="1"/>
  <c r="X97" i="1"/>
  <c r="X253" i="1"/>
  <c r="X87" i="1"/>
  <c r="X31" i="1"/>
  <c r="X174" i="1"/>
  <c r="X132" i="1"/>
  <c r="X233" i="1"/>
  <c r="X218" i="1"/>
  <c r="X189" i="1"/>
  <c r="X62" i="1"/>
  <c r="X20" i="1"/>
  <c r="X245" i="1"/>
  <c r="X169" i="1"/>
  <c r="X113" i="1"/>
  <c r="X269" i="1"/>
  <c r="X38" i="1"/>
  <c r="X278" i="1"/>
  <c r="X57" i="1"/>
  <c r="X7" i="1"/>
  <c r="X112" i="1"/>
  <c r="X154" i="1"/>
  <c r="X297" i="1"/>
  <c r="X212" i="1"/>
  <c r="X177" i="1"/>
  <c r="X102" i="1"/>
  <c r="X60" i="1"/>
  <c r="X121" i="1"/>
  <c r="X65" i="1"/>
  <c r="X176" i="1"/>
  <c r="X240" i="1"/>
  <c r="X263" i="1"/>
  <c r="X5" i="1"/>
  <c r="X123" i="1"/>
  <c r="X67" i="1"/>
  <c r="X268" i="1"/>
  <c r="X242" i="1"/>
  <c r="X265" i="1"/>
  <c r="X11" i="1"/>
  <c r="X208" i="1"/>
  <c r="X203" i="1"/>
  <c r="X159" i="1"/>
  <c r="X282" i="1"/>
  <c r="X296" i="1"/>
  <c r="X74" i="1"/>
  <c r="X103" i="1"/>
  <c r="X47" i="1"/>
  <c r="X190" i="1"/>
  <c r="X148" i="1"/>
  <c r="X27" i="1"/>
  <c r="X216" i="1"/>
  <c r="X166" i="1"/>
  <c r="X124" i="1"/>
  <c r="X185" i="1"/>
  <c r="X129" i="1"/>
  <c r="X285" i="1"/>
  <c r="X22" i="1"/>
  <c r="X262" i="1"/>
  <c r="X136" i="1"/>
  <c r="X165" i="1"/>
  <c r="X109" i="1"/>
  <c r="X264" i="1"/>
  <c r="X287" i="1"/>
  <c r="X261" i="1"/>
  <c r="X53" i="1"/>
  <c r="X230" i="1"/>
  <c r="X201" i="1"/>
  <c r="X130" i="1"/>
  <c r="X196" i="1"/>
  <c r="X145" i="1"/>
  <c r="X295" i="1"/>
  <c r="X70" i="1"/>
  <c r="X28" i="1"/>
  <c r="X89" i="1"/>
  <c r="X33" i="1"/>
  <c r="X144" i="1"/>
  <c r="X122" i="1"/>
  <c r="X69" i="1"/>
  <c r="X13" i="1"/>
  <c r="X209" i="1"/>
  <c r="X146" i="1"/>
  <c r="X120" i="1"/>
  <c r="X171" i="1"/>
  <c r="X115" i="1"/>
  <c r="X34" i="1"/>
  <c r="X258" i="1"/>
  <c r="X281" i="1"/>
  <c r="X182" i="1"/>
  <c r="X140" i="1"/>
  <c r="X119" i="1"/>
  <c r="X77" i="1"/>
  <c r="X235" i="1"/>
  <c r="X255" i="1"/>
  <c r="X184" i="1"/>
  <c r="X21" i="1"/>
  <c r="X213" i="1"/>
  <c r="X179" i="1"/>
  <c r="X98" i="1"/>
  <c r="X40" i="1"/>
  <c r="X9" i="1"/>
  <c r="X207" i="1"/>
  <c r="X64" i="1"/>
  <c r="X138" i="1"/>
  <c r="X167" i="1"/>
  <c r="X111" i="1"/>
  <c r="X236" i="1"/>
  <c r="X101" i="1"/>
  <c r="X45" i="1"/>
  <c r="X225" i="1"/>
  <c r="X178" i="1"/>
  <c r="X152" i="1"/>
  <c r="X197" i="1"/>
  <c r="X147" i="1"/>
  <c r="X66" i="1"/>
  <c r="X291" i="1"/>
  <c r="X249" i="1"/>
  <c r="X183" i="1"/>
  <c r="X127" i="1"/>
  <c r="X250" i="1"/>
  <c r="X273" i="1"/>
  <c r="X42" i="1"/>
  <c r="X71" i="1"/>
  <c r="X15" i="1"/>
  <c r="X158" i="1"/>
  <c r="X116" i="1"/>
  <c r="X300" i="1"/>
  <c r="X58" i="1"/>
  <c r="X8" i="1"/>
  <c r="X205" i="1"/>
  <c r="X163" i="1"/>
  <c r="X82" i="1"/>
  <c r="X56" i="1"/>
  <c r="X107" i="1"/>
  <c r="X51" i="1"/>
  <c r="X252" i="1"/>
  <c r="X259" i="1"/>
  <c r="X172" i="1"/>
  <c r="X63" i="1"/>
  <c r="X251" i="1"/>
  <c r="X164" i="1"/>
  <c r="X260" i="1"/>
  <c r="X10" i="1"/>
  <c r="X206" i="1"/>
  <c r="X94" i="1"/>
  <c r="X52" i="1"/>
  <c r="X23" i="1"/>
  <c r="X214" i="1"/>
  <c r="X110" i="1"/>
  <c r="X68" i="1"/>
  <c r="X181" i="1"/>
  <c r="X125" i="1"/>
  <c r="X280" i="1"/>
  <c r="X238" i="1"/>
  <c r="X59" i="1"/>
  <c r="X6" i="1"/>
  <c r="X243" i="1"/>
  <c r="X156" i="1"/>
  <c r="X204" i="1"/>
  <c r="X161" i="1"/>
  <c r="X299" i="1"/>
  <c r="X272" i="1"/>
  <c r="X234" i="1"/>
  <c r="X194" i="1"/>
  <c r="X141" i="1"/>
  <c r="X14" i="1"/>
  <c r="X254" i="1"/>
  <c r="X293" i="1"/>
  <c r="X85" i="1"/>
  <c r="X29" i="1"/>
  <c r="X217" i="1"/>
  <c r="X162" i="1"/>
  <c r="X104" i="1"/>
  <c r="X54" i="1"/>
  <c r="X12" i="1"/>
  <c r="X226" i="1"/>
  <c r="X198" i="1"/>
  <c r="X78" i="1"/>
  <c r="X36" i="1"/>
  <c r="X149" i="1"/>
  <c r="X93" i="1"/>
  <c r="X248" i="1"/>
  <c r="X271" i="1"/>
  <c r="X168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W381" i="1"/>
</calcChain>
</file>

<file path=xl/comments1.xml><?xml version="1.0" encoding="utf-8"?>
<comments xmlns="http://schemas.openxmlformats.org/spreadsheetml/2006/main">
  <authors>
    <author>John Walkenbach</author>
  </authors>
  <commentList>
    <comment ref="W4" authorId="0" shapeId="0">
      <text>
        <r>
          <rPr>
            <b/>
            <sz val="8"/>
            <color indexed="81"/>
            <rFont val="Tahoma"/>
            <family val="2"/>
          </rPr>
          <t>John Walkenbach:</t>
        </r>
        <r>
          <rPr>
            <sz val="8"/>
            <color indexed="81"/>
            <rFont val="Tahoma"/>
            <family val="2"/>
          </rPr>
          <t xml:space="preserve">
Normalized data, so the chart scaling can remain fixed.</t>
        </r>
      </text>
    </comment>
  </commentList>
</comments>
</file>

<file path=xl/sharedStrings.xml><?xml version="1.0" encoding="utf-8"?>
<sst xmlns="http://schemas.openxmlformats.org/spreadsheetml/2006/main" count="12" uniqueCount="12">
  <si>
    <t>a_inc</t>
  </si>
  <si>
    <t>b_inc</t>
  </si>
  <si>
    <t>t_inc</t>
  </si>
  <si>
    <t>a</t>
  </si>
  <si>
    <t>b</t>
  </si>
  <si>
    <t>t</t>
  </si>
  <si>
    <t>x</t>
  </si>
  <si>
    <t>y</t>
  </si>
  <si>
    <t>Animate</t>
  </si>
  <si>
    <t>Parameters</t>
  </si>
  <si>
    <t>x(norm)</t>
  </si>
  <si>
    <t>y(norm)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</si>
</sst>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&quot;Speed: &quot;General"/>
    <numFmt numFmtId="165" formatCode="&quot;a: &quot;0"/>
    <numFmt numFmtId="166" formatCode="&quot;b: &quot;0"/>
    <numFmt numFmtId="167" formatCode="&quot;t: &quot;0"/>
    <numFmt numFmtId="168" formatCode="&quot;Favorite &quot;General"/>
  </numFmts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i/>
      <sz val="10"/>
      <color indexed="9"/>
      <name val="Arial"/>
      <family val="2"/>
    </font>
    <font>
      <sz val="10"/>
      <color indexed="9"/>
      <name val="Arial"/>
      <family val="2"/>
    </font>
    <font>
      <sz val="9"/>
      <color indexed="13"/>
      <name val="Arial"/>
      <family val="2"/>
    </font>
    <font>
      <b/>
      <sz val="8"/>
      <color indexed="81"/>
      <name val="Tahoma"/>
      <family val="2"/>
    </font>
    <font>
      <b/>
      <sz val="9"/>
      <color indexed="13"/>
      <name val="Arial"/>
      <family val="2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indexed="81"/>
      <name val="Tahoma"/>
      <family val="2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Fill="1"/>
    <xf numFmtId="168" fontId="8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4" fillId="0" borderId="0" xfId="0" quotePrefix="1" applyFont="1" applyFill="1" applyAlignment="1">
      <alignment horizontal="left" indent="1"/>
    </xf>
    <xf numFmtId="0" fontId="4" fillId="0" borderId="0" xfId="0" applyFont="1" applyFill="1" applyAlignment="1">
      <alignment horizontal="left" indent="1"/>
    </xf>
    <xf numFmtId="0" fontId="5" fillId="0" borderId="0" xfId="0" applyFont="1" applyFill="1" applyAlignment="1">
      <alignment horizontal="left" indent="1"/>
    </xf>
    <xf numFmtId="0" fontId="3" fillId="0" borderId="0" xfId="0" applyFont="1" applyFill="1"/>
    <xf numFmtId="164" fontId="10" fillId="0" borderId="0" xfId="0" applyNumberFormat="1" applyFont="1" applyFill="1" applyAlignment="1">
      <alignment horizontal="center"/>
    </xf>
    <xf numFmtId="2" fontId="11" fillId="0" borderId="0" xfId="0" applyNumberFormat="1" applyFont="1"/>
    <xf numFmtId="0" fontId="0" fillId="0" borderId="0" xfId="0" applyFont="1"/>
    <xf numFmtId="0" fontId="9" fillId="2" borderId="1" xfId="0" applyFont="1" applyFill="1" applyBorder="1" applyAlignment="1">
      <alignment horizontal="center"/>
    </xf>
    <xf numFmtId="2" fontId="11" fillId="0" borderId="1" xfId="0" applyNumberFormat="1" applyFont="1" applyBorder="1"/>
    <xf numFmtId="0" fontId="0" fillId="0" borderId="1" xfId="0" applyFont="1" applyBorder="1"/>
    <xf numFmtId="4" fontId="11" fillId="3" borderId="1" xfId="1" applyNumberFormat="1" applyFont="1" applyFill="1" applyBorder="1"/>
    <xf numFmtId="4" fontId="11" fillId="4" borderId="1" xfId="1" applyNumberFormat="1" applyFont="1" applyFill="1" applyBorder="1"/>
    <xf numFmtId="4" fontId="13" fillId="5" borderId="1" xfId="0" applyNumberFormat="1" applyFont="1" applyFill="1" applyBorder="1"/>
    <xf numFmtId="4" fontId="0" fillId="0" borderId="0" xfId="0" applyNumberFormat="1"/>
    <xf numFmtId="0" fontId="9" fillId="2" borderId="2" xfId="0" applyFont="1" applyFill="1" applyBorder="1" applyAlignment="1">
      <alignment horizontal="center" vertical="center"/>
    </xf>
    <xf numFmtId="165" fontId="16" fillId="0" borderId="2" xfId="2" applyNumberFormat="1" applyFont="1" applyFill="1" applyBorder="1" applyAlignment="1">
      <alignment horizontal="center"/>
    </xf>
    <xf numFmtId="166" fontId="16" fillId="0" borderId="2" xfId="2" applyNumberFormat="1" applyFont="1" applyFill="1" applyBorder="1" applyAlignment="1">
      <alignment horizontal="center"/>
    </xf>
    <xf numFmtId="167" fontId="16" fillId="0" borderId="2" xfId="2" applyNumberFormat="1" applyFont="1" applyFill="1" applyBorder="1" applyAlignment="1">
      <alignment horizontal="center"/>
    </xf>
  </cellXfs>
  <cellStyles count="3">
    <cellStyle name="Comma" xfId="1" builtinId="3"/>
    <cellStyle name="Normal" xfId="0" builtinId="0" customBuiltin="1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5.3717996947251455E-3"/>
          <c:w val="0.99412778438666372"/>
          <c:h val="0.98698180025684601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chemeClr val="tx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Chart!$W$5:$W$381</c:f>
              <c:numCache>
                <c:formatCode>#,##0.00</c:formatCode>
                <c:ptCount val="377"/>
                <c:pt idx="0">
                  <c:v>-2.6362235303951649E-4</c:v>
                </c:pt>
                <c:pt idx="1">
                  <c:v>4.7090266474855867E-3</c:v>
                </c:pt>
                <c:pt idx="2">
                  <c:v>3.0599650361888093E-3</c:v>
                </c:pt>
                <c:pt idx="3">
                  <c:v>-7.9284008599161699E-3</c:v>
                </c:pt>
                <c:pt idx="4">
                  <c:v>-2.3155386497904416E-2</c:v>
                </c:pt>
                <c:pt idx="5">
                  <c:v>-3.1843011895611437E-2</c:v>
                </c:pt>
                <c:pt idx="6">
                  <c:v>-2.4088247907433892E-2</c:v>
                </c:pt>
                <c:pt idx="7">
                  <c:v>1.8706194990662523E-3</c:v>
                </c:pt>
                <c:pt idx="8">
                  <c:v>3.6270855329188778E-2</c:v>
                </c:pt>
                <c:pt idx="9">
                  <c:v>6.1126002830344799E-2</c:v>
                </c:pt>
                <c:pt idx="10">
                  <c:v>5.9323310273903966E-2</c:v>
                </c:pt>
                <c:pt idx="11">
                  <c:v>2.5023109754716194E-2</c:v>
                </c:pt>
                <c:pt idx="12">
                  <c:v>-3.0559791365177748E-2</c:v>
                </c:pt>
                <c:pt idx="13">
                  <c:v>-8.2098811465739954E-2</c:v>
                </c:pt>
                <c:pt idx="14">
                  <c:v>-0.10154537891193408</c:v>
                </c:pt>
                <c:pt idx="15">
                  <c:v>-7.2909888397616543E-2</c:v>
                </c:pt>
                <c:pt idx="16">
                  <c:v>-2.8131106380254877E-3</c:v>
                </c:pt>
                <c:pt idx="17">
                  <c:v>7.9508849299749662E-2</c:v>
                </c:pt>
                <c:pt idx="18">
                  <c:v>0.13417779415238065</c:v>
                </c:pt>
                <c:pt idx="19">
                  <c:v>0.12983915954397274</c:v>
                </c:pt>
                <c:pt idx="20">
                  <c:v>6.0865757243275316E-2</c:v>
                </c:pt>
                <c:pt idx="21">
                  <c:v>-4.6572245312476654E-2</c:v>
                </c:pt>
                <c:pt idx="22">
                  <c:v>-0.14396656267251795</c:v>
                </c:pt>
                <c:pt idx="23">
                  <c:v>-0.18231241101167933</c:v>
                </c:pt>
                <c:pt idx="24">
                  <c:v>-0.13652520522597494</c:v>
                </c:pt>
                <c:pt idx="25">
                  <c:v>-2.0355636377614873E-2</c:v>
                </c:pt>
                <c:pt idx="26">
                  <c:v>0.11660275165315299</c:v>
                </c:pt>
                <c:pt idx="27">
                  <c:v>0.20996878233210609</c:v>
                </c:pt>
                <c:pt idx="28">
                  <c:v>0.21081546305902943</c:v>
                </c:pt>
                <c:pt idx="29">
                  <c:v>0.11089881320213736</c:v>
                </c:pt>
                <c:pt idx="30">
                  <c:v>-4.9983067933864811E-2</c:v>
                </c:pt>
                <c:pt idx="31">
                  <c:v>-0.19952012789452464</c:v>
                </c:pt>
                <c:pt idx="32">
                  <c:v>-0.26542773547477388</c:v>
                </c:pt>
                <c:pt idx="33">
                  <c:v>-0.2103354725197657</c:v>
                </c:pt>
                <c:pt idx="34">
                  <c:v>-5.2205039462261724E-2</c:v>
                </c:pt>
                <c:pt idx="35">
                  <c:v>0.14060538058293612</c:v>
                </c:pt>
                <c:pt idx="36">
                  <c:v>0.27887327389781352</c:v>
                </c:pt>
                <c:pt idx="37">
                  <c:v>0.29389742350005399</c:v>
                </c:pt>
                <c:pt idx="38">
                  <c:v>0.17149606929987626</c:v>
                </c:pt>
                <c:pt idx="39">
                  <c:v>-3.8155830392228876E-2</c:v>
                </c:pt>
                <c:pt idx="40">
                  <c:v>-0.2408998624954104</c:v>
                </c:pt>
                <c:pt idx="41">
                  <c:v>-0.34101342981562732</c:v>
                </c:pt>
                <c:pt idx="42">
                  <c:v>-0.28650850840740028</c:v>
                </c:pt>
                <c:pt idx="43">
                  <c:v>-9.5825485860298723E-2</c:v>
                </c:pt>
                <c:pt idx="44">
                  <c:v>0.14766898521566268</c:v>
                </c:pt>
                <c:pt idx="45">
                  <c:v>0.33220242060280181</c:v>
                </c:pt>
                <c:pt idx="46">
                  <c:v>0.36910992100403672</c:v>
                </c:pt>
                <c:pt idx="47">
                  <c:v>0.23550890801685256</c:v>
                </c:pt>
                <c:pt idx="48">
                  <c:v>-1.243817691176231E-2</c:v>
                </c:pt>
                <c:pt idx="49">
                  <c:v>-0.263054461248383</c:v>
                </c:pt>
                <c:pt idx="50">
                  <c:v>-0.3996621845045637</c:v>
                </c:pt>
                <c:pt idx="51">
                  <c:v>-0.35513896925977761</c:v>
                </c:pt>
                <c:pt idx="52">
                  <c:v>-0.14490418850680128</c:v>
                </c:pt>
                <c:pt idx="53">
                  <c:v>0.13788024501634968</c:v>
                </c:pt>
                <c:pt idx="54">
                  <c:v>0.36373903066239011</c:v>
                </c:pt>
                <c:pt idx="55">
                  <c:v>0.42645928935305849</c:v>
                </c:pt>
                <c:pt idx="56">
                  <c:v>0.29327231374591484</c:v>
                </c:pt>
                <c:pt idx="57">
                  <c:v>2.1829916748077004E-2</c:v>
                </c:pt>
                <c:pt idx="58">
                  <c:v>-0.26476369431553709</c:v>
                </c:pt>
                <c:pt idx="59">
                  <c:v>-0.43405478498925598</c:v>
                </c:pt>
                <c:pt idx="60">
                  <c:v>-0.40579304028142216</c:v>
                </c:pt>
                <c:pt idx="61">
                  <c:v>-0.19018333366593396</c:v>
                </c:pt>
                <c:pt idx="62">
                  <c:v>0.11548845035640723</c:v>
                </c:pt>
                <c:pt idx="63">
                  <c:v>0.37093556087307628</c:v>
                </c:pt>
                <c:pt idx="64">
                  <c:v>0.45760876770942127</c:v>
                </c:pt>
                <c:pt idx="65">
                  <c:v>0.33406559273737912</c:v>
                </c:pt>
                <c:pt idx="66">
                  <c:v>5.5955955027018833E-2</c:v>
                </c:pt>
                <c:pt idx="67">
                  <c:v>-0.24908817334441813</c:v>
                </c:pt>
                <c:pt idx="68">
                  <c:v>-0.44031780242003815</c:v>
                </c:pt>
                <c:pt idx="69">
                  <c:v>-0.42921530508172001</c:v>
                </c:pt>
                <c:pt idx="70">
                  <c:v>-0.22081010567703327</c:v>
                </c:pt>
                <c:pt idx="71">
                  <c:v>8.8473692180326205E-2</c:v>
                </c:pt>
                <c:pt idx="72">
                  <c:v>0.35558385233853329</c:v>
                </c:pt>
                <c:pt idx="73">
                  <c:v>0.45737724784515393</c:v>
                </c:pt>
                <c:pt idx="74">
                  <c:v>0.34782249454189451</c:v>
                </c:pt>
                <c:pt idx="75">
                  <c:v>7.9108077118665479E-2</c:v>
                </c:pt>
                <c:pt idx="76">
                  <c:v>-0.22315890299520036</c:v>
                </c:pt>
                <c:pt idx="77">
                  <c:v>-0.41890818661589291</c:v>
                </c:pt>
                <c:pt idx="78">
                  <c:v>-0.41894686669815612</c:v>
                </c:pt>
                <c:pt idx="79">
                  <c:v>-0.22602057419995131</c:v>
                </c:pt>
                <c:pt idx="80">
                  <c:v>6.7495775105364239E-2</c:v>
                </c:pt>
                <c:pt idx="81">
                  <c:v>0.32383649093573541</c:v>
                </c:pt>
                <c:pt idx="82">
                  <c:v>0.42482993170107458</c:v>
                </c:pt>
                <c:pt idx="83">
                  <c:v>0.32684408522152714</c:v>
                </c:pt>
                <c:pt idx="84">
                  <c:v>7.9942255929919187E-2</c:v>
                </c:pt>
                <c:pt idx="85">
                  <c:v>-0.19731201919738101</c:v>
                </c:pt>
                <c:pt idx="86">
                  <c:v>-0.37487358622307787</c:v>
                </c:pt>
                <c:pt idx="87">
                  <c:v>-0.37260945525304079</c:v>
                </c:pt>
                <c:pt idx="88">
                  <c:v>-0.19691992395684169</c:v>
                </c:pt>
                <c:pt idx="89">
                  <c:v>6.4354717975181885E-2</c:v>
                </c:pt>
                <c:pt idx="90">
                  <c:v>0.28554919630395037</c:v>
                </c:pt>
                <c:pt idx="91">
                  <c:v>0.36378109566534683</c:v>
                </c:pt>
                <c:pt idx="92">
                  <c:v>0.26725977798206502</c:v>
                </c:pt>
                <c:pt idx="93">
                  <c:v>4.8419948643377467E-2</c:v>
                </c:pt>
                <c:pt idx="94">
                  <c:v>-0.18366808808606291</c:v>
                </c:pt>
                <c:pt idx="95">
                  <c:v>-0.31742176665776051</c:v>
                </c:pt>
                <c:pt idx="96">
                  <c:v>-0.29265010684934656</c:v>
                </c:pt>
                <c:pt idx="97">
                  <c:v>-0.12809993867614053</c:v>
                </c:pt>
                <c:pt idx="98">
                  <c:v>9.0167849745480241E-2</c:v>
                </c:pt>
                <c:pt idx="99">
                  <c:v>0.25300957824726794</c:v>
                </c:pt>
                <c:pt idx="100">
                  <c:v>0.28260693646519064</c:v>
                </c:pt>
                <c:pt idx="101">
                  <c:v>0.17000906933249904</c:v>
                </c:pt>
                <c:pt idx="102">
                  <c:v>-2.2442337134250413E-2</c:v>
                </c:pt>
                <c:pt idx="103">
                  <c:v>-0.19433795820538011</c:v>
                </c:pt>
                <c:pt idx="104">
                  <c:v>-0.2588284598872953</c:v>
                </c:pt>
                <c:pt idx="105">
                  <c:v>-0.18641031828023463</c:v>
                </c:pt>
                <c:pt idx="106">
                  <c:v>-1.8848341888896059E-2</c:v>
                </c:pt>
                <c:pt idx="107">
                  <c:v>0.15351630985288336</c:v>
                </c:pt>
                <c:pt idx="108">
                  <c:v>0.23920712390755541</c:v>
                </c:pt>
                <c:pt idx="109">
                  <c:v>0.19336049215599349</c:v>
                </c:pt>
                <c:pt idx="110">
                  <c:v>4.1175831556035193E-2</c:v>
                </c:pt>
                <c:pt idx="111">
                  <c:v>-0.13515035162576475</c:v>
                </c:pt>
                <c:pt idx="112">
                  <c:v>-0.23949703577386003</c:v>
                </c:pt>
                <c:pt idx="113">
                  <c:v>-0.21280767183654006</c:v>
                </c:pt>
                <c:pt idx="114">
                  <c:v>-6.5473679720878974E-2</c:v>
                </c:pt>
                <c:pt idx="115">
                  <c:v>0.12624750974999593</c:v>
                </c:pt>
                <c:pt idx="116">
                  <c:v>0.2588281872453338</c:v>
                </c:pt>
                <c:pt idx="117">
                  <c:v>0.25587019171340825</c:v>
                </c:pt>
                <c:pt idx="118">
                  <c:v>0.11027861048568173</c:v>
                </c:pt>
                <c:pt idx="119">
                  <c:v>-0.10840875258231114</c:v>
                </c:pt>
                <c:pt idx="120">
                  <c:v>-0.28685978608810675</c:v>
                </c:pt>
                <c:pt idx="121">
                  <c:v>-0.32559839413240188</c:v>
                </c:pt>
                <c:pt idx="122">
                  <c:v>-0.19254913432450402</c:v>
                </c:pt>
                <c:pt idx="123">
                  <c:v>5.5654736649712509E-2</c:v>
                </c:pt>
                <c:pt idx="124">
                  <c:v>0.29742357925334351</c:v>
                </c:pt>
                <c:pt idx="125">
                  <c:v>0.40524381236237439</c:v>
                </c:pt>
                <c:pt idx="126">
                  <c:v>0.311538103238231</c:v>
                </c:pt>
                <c:pt idx="127">
                  <c:v>4.7859830775847413E-2</c:v>
                </c:pt>
                <c:pt idx="128">
                  <c:v>-0.26428001705544102</c:v>
                </c:pt>
                <c:pt idx="129">
                  <c:v>-0.46921080991949798</c:v>
                </c:pt>
                <c:pt idx="130">
                  <c:v>-0.45398769060228483</c:v>
                </c:pt>
                <c:pt idx="131">
                  <c:v>-0.20868304456696116</c:v>
                </c:pt>
                <c:pt idx="132">
                  <c:v>0.16138854859097998</c:v>
                </c:pt>
                <c:pt idx="133">
                  <c:v>0.48061410189662568</c:v>
                </c:pt>
                <c:pt idx="134">
                  <c:v>0.58615278121228021</c:v>
                </c:pt>
                <c:pt idx="135">
                  <c:v>0.40994370325623997</c:v>
                </c:pt>
                <c:pt idx="136">
                  <c:v>1.8759722498176767E-2</c:v>
                </c:pt>
                <c:pt idx="137">
                  <c:v>-0.41005578899809464</c:v>
                </c:pt>
                <c:pt idx="138">
                  <c:v>-0.6689352523550991</c:v>
                </c:pt>
                <c:pt idx="139">
                  <c:v>-0.62013942790513543</c:v>
                </c:pt>
                <c:pt idx="140">
                  <c:v>-0.26745437135765887</c:v>
                </c:pt>
                <c:pt idx="141">
                  <c:v>0.23719241415217693</c:v>
                </c:pt>
                <c:pt idx="142">
                  <c:v>0.65900130781963495</c:v>
                </c:pt>
                <c:pt idx="143">
                  <c:v>0.78950860239708731</c:v>
                </c:pt>
                <c:pt idx="144">
                  <c:v>0.54895200936934241</c:v>
                </c:pt>
                <c:pt idx="145">
                  <c:v>3.1787048195170878E-2</c:v>
                </c:pt>
                <c:pt idx="146">
                  <c:v>-0.52955164364323426</c:v>
                </c:pt>
                <c:pt idx="147">
                  <c:v>-0.8691992233420468</c:v>
                </c:pt>
                <c:pt idx="148">
                  <c:v>-0.81365935878543671</c:v>
                </c:pt>
                <c:pt idx="149">
                  <c:v>-0.36937387591871074</c:v>
                </c:pt>
                <c:pt idx="150">
                  <c:v>0.27172814863588113</c:v>
                </c:pt>
                <c:pt idx="151">
                  <c:v>0.81506657161405072</c:v>
                </c:pt>
                <c:pt idx="152">
                  <c:v>0.99892566952312956</c:v>
                </c:pt>
                <c:pt idx="153">
                  <c:v>0.72023659611482027</c:v>
                </c:pt>
                <c:pt idx="154">
                  <c:v>9.0284249928136162E-2</c:v>
                </c:pt>
                <c:pt idx="155">
                  <c:v>-0.60902813104070808</c:v>
                </c:pt>
                <c:pt idx="156">
                  <c:v>-1.0515419184814028</c:v>
                </c:pt>
                <c:pt idx="157">
                  <c:v>-1.0191006949022698</c:v>
                </c:pt>
                <c:pt idx="158">
                  <c:v>-0.50856141260261212</c:v>
                </c:pt>
                <c:pt idx="159">
                  <c:v>0.25872046792995285</c:v>
                </c:pt>
                <c:pt idx="160">
                  <c:v>0.93289291545965758</c:v>
                </c:pt>
                <c:pt idx="161">
                  <c:v>1.1954573760608576</c:v>
                </c:pt>
                <c:pt idx="162">
                  <c:v>0.9097844903314537</c:v>
                </c:pt>
                <c:pt idx="163">
                  <c:v>0.1911379786543308</c:v>
                </c:pt>
                <c:pt idx="164">
                  <c:v>-0.63927133807898984</c:v>
                </c:pt>
                <c:pt idx="165">
                  <c:v>-1.1981837367151049</c:v>
                </c:pt>
                <c:pt idx="166">
                  <c:v>-1.2175343033242689</c:v>
                </c:pt>
                <c:pt idx="167">
                  <c:v>-0.67291462120346979</c:v>
                </c:pt>
                <c:pt idx="168">
                  <c:v>0.19827104535398007</c:v>
                </c:pt>
                <c:pt idx="169">
                  <c:v>1.0004221929155825</c:v>
                </c:pt>
                <c:pt idx="170">
                  <c:v>1.359857374059094</c:v>
                </c:pt>
                <c:pt idx="171">
                  <c:v>1.0992136268706902</c:v>
                </c:pt>
                <c:pt idx="172">
                  <c:v>0.32459336971575048</c:v>
                </c:pt>
                <c:pt idx="173">
                  <c:v>-0.61721516853413105</c:v>
                </c:pt>
                <c:pt idx="174">
                  <c:v>-1.2944156499999873</c:v>
                </c:pt>
                <c:pt idx="175">
                  <c:v>-1.3887089970930582</c:v>
                </c:pt>
                <c:pt idx="176">
                  <c:v>-0.84513253881463601</c:v>
                </c:pt>
                <c:pt idx="177">
                  <c:v>9.7409298056100879E-2</c:v>
                </c:pt>
                <c:pt idx="178">
                  <c:v>1.0113609651749496</c:v>
                </c:pt>
                <c:pt idx="179">
                  <c:v>1.4750512216000375</c:v>
                </c:pt>
                <c:pt idx="180">
                  <c:v>1.2677777315049223</c:v>
                </c:pt>
                <c:pt idx="181">
                  <c:v>0.47494772132244617</c:v>
                </c:pt>
                <c:pt idx="182">
                  <c:v>-0.54685953558046818</c:v>
                </c:pt>
                <c:pt idx="183">
                  <c:v>-1.3307559327046197</c:v>
                </c:pt>
                <c:pt idx="184">
                  <c:v>-1.5135510572255244</c:v>
                </c:pt>
                <c:pt idx="185">
                  <c:v>-1.0045117042555172</c:v>
                </c:pt>
                <c:pt idx="186">
                  <c:v>-3.0241513253733948E-2</c:v>
                </c:pt>
                <c:pt idx="187">
                  <c:v>0.96645960558785104</c:v>
                </c:pt>
                <c:pt idx="188">
                  <c:v>1.5285034999296678</c:v>
                </c:pt>
                <c:pt idx="189">
                  <c:v>1.3948359851148528</c:v>
                </c:pt>
                <c:pt idx="190">
                  <c:v>0.62208697023909409</c:v>
                </c:pt>
                <c:pt idx="191">
                  <c:v>-0.43931871681603241</c:v>
                </c:pt>
                <c:pt idx="192">
                  <c:v>-1.3045745326261</c:v>
                </c:pt>
                <c:pt idx="193">
                  <c:v>-1.5766941860169592</c:v>
                </c:pt>
                <c:pt idx="194">
                  <c:v>-1.1293262293607207</c:v>
                </c:pt>
                <c:pt idx="195">
                  <c:v>-0.16569426082867447</c:v>
                </c:pt>
                <c:pt idx="196">
                  <c:v>0.8739570453319242</c:v>
                </c:pt>
                <c:pt idx="197">
                  <c:v>1.5141625816818143</c:v>
                </c:pt>
                <c:pt idx="198">
                  <c:v>1.4624920460139801</c:v>
                </c:pt>
                <c:pt idx="199">
                  <c:v>0.74371588394448396</c:v>
                </c:pt>
                <c:pt idx="200">
                  <c:v>-0.31193934456287215</c:v>
                </c:pt>
                <c:pt idx="201">
                  <c:v>-1.2209392092373226</c:v>
                </c:pt>
                <c:pt idx="202">
                  <c:v>-1.568710762540142</c:v>
                </c:pt>
                <c:pt idx="203">
                  <c:v>-1.1995169944372164</c:v>
                </c:pt>
                <c:pt idx="204">
                  <c:v>-0.28661896431036077</c:v>
                </c:pt>
                <c:pt idx="205">
                  <c:v>0.7490814527472287</c:v>
                </c:pt>
                <c:pt idx="206">
                  <c:v>1.4337034556509318</c:v>
                </c:pt>
                <c:pt idx="207">
                  <c:v>1.4580692830679831</c:v>
                </c:pt>
                <c:pt idx="208">
                  <c:v>0.81803468406806279</c:v>
                </c:pt>
                <c:pt idx="209">
                  <c:v>-0.18654529771605546</c:v>
                </c:pt>
                <c:pt idx="210">
                  <c:v>-1.0925256609011498</c:v>
                </c:pt>
                <c:pt idx="211">
                  <c:v>-1.4877366026841352</c:v>
                </c:pt>
                <c:pt idx="212">
                  <c:v>-1.1993604443595776</c:v>
                </c:pt>
                <c:pt idx="213">
                  <c:v>-0.36994168778275971</c:v>
                </c:pt>
                <c:pt idx="214">
                  <c:v>0.61261360623278482</c:v>
                </c:pt>
                <c:pt idx="215">
                  <c:v>1.2968650379481339</c:v>
                </c:pt>
                <c:pt idx="216">
                  <c:v>1.3760925924449803</c:v>
                </c:pt>
                <c:pt idx="217">
                  <c:v>0.82654402217529266</c:v>
                </c:pt>
                <c:pt idx="218">
                  <c:v>-8.6982525617289919E-2</c:v>
                </c:pt>
                <c:pt idx="219">
                  <c:v>-0.93854625766562894</c:v>
                </c:pt>
                <c:pt idx="220">
                  <c:v>-1.3402433034320222</c:v>
                </c:pt>
                <c:pt idx="221">
                  <c:v>-1.1197726394623859</c:v>
                </c:pt>
                <c:pt idx="222">
                  <c:v>-0.39472250610887782</c:v>
                </c:pt>
                <c:pt idx="223">
                  <c:v>0.48864061785929619</c:v>
                </c:pt>
                <c:pt idx="224">
                  <c:v>1.1207839905765262</c:v>
                </c:pt>
                <c:pt idx="225">
                  <c:v>1.2194930959799473</c:v>
                </c:pt>
                <c:pt idx="226">
                  <c:v>0.75662695026844873</c:v>
                </c:pt>
                <c:pt idx="227">
                  <c:v>-3.6235725382816809E-2</c:v>
                </c:pt>
                <c:pt idx="228">
                  <c:v>-0.78277532014849649</c:v>
                </c:pt>
                <c:pt idx="229">
                  <c:v>-1.1408083864675413</c:v>
                </c:pt>
                <c:pt idx="230">
                  <c:v>-0.95993270585892498</c:v>
                </c:pt>
                <c:pt idx="231">
                  <c:v>-0.34496230523091548</c:v>
                </c:pt>
                <c:pt idx="232">
                  <c:v>0.40173779385980529</c:v>
                </c:pt>
                <c:pt idx="233">
                  <c:v>0.92834997321381807</c:v>
                </c:pt>
                <c:pt idx="234">
                  <c:v>0.99983619154658776</c:v>
                </c:pt>
                <c:pt idx="235">
                  <c:v>0.60356646862843477</c:v>
                </c:pt>
                <c:pt idx="236">
                  <c:v>-5.3457598558149889E-2</c:v>
                </c:pt>
                <c:pt idx="237">
                  <c:v>-0.65086793126003073</c:v>
                </c:pt>
                <c:pt idx="238">
                  <c:v>-0.91085302225703968</c:v>
                </c:pt>
                <c:pt idx="239">
                  <c:v>-0.72797974265238519</c:v>
                </c:pt>
                <c:pt idx="240">
                  <c:v>-0.21197887072205232</c:v>
                </c:pt>
                <c:pt idx="241">
                  <c:v>0.3739014154913658</c:v>
                </c:pt>
                <c:pt idx="242">
                  <c:v>0.7457326163415342</c:v>
                </c:pt>
                <c:pt idx="243">
                  <c:v>0.73648672627305323</c:v>
                </c:pt>
                <c:pt idx="244">
                  <c:v>0.37171086400148318</c:v>
                </c:pt>
                <c:pt idx="245">
                  <c:v>-0.15128024583865235</c:v>
                </c:pt>
                <c:pt idx="246">
                  <c:v>-0.56726884160616986</c:v>
                </c:pt>
                <c:pt idx="247">
                  <c:v>-0.67644596399519663</c:v>
                </c:pt>
                <c:pt idx="248">
                  <c:v>-0.44064141580826388</c:v>
                </c:pt>
                <c:pt idx="249">
                  <c:v>3.9716302449996459E-3</c:v>
                </c:pt>
                <c:pt idx="250">
                  <c:v>0.42160337871325887</c:v>
                </c:pt>
                <c:pt idx="251">
                  <c:v>0.59934264111147084</c:v>
                </c:pt>
                <c:pt idx="252">
                  <c:v>0.45475440304931608</c:v>
                </c:pt>
                <c:pt idx="253">
                  <c:v>7.4591369053025158E-2</c:v>
                </c:pt>
                <c:pt idx="254">
                  <c:v>-0.3337618901537307</c:v>
                </c:pt>
                <c:pt idx="255">
                  <c:v>-0.5520748407773467</c:v>
                </c:pt>
                <c:pt idx="256">
                  <c:v>-0.46539464704218425</c:v>
                </c:pt>
                <c:pt idx="257">
                  <c:v>-0.12177920380029836</c:v>
                </c:pt>
                <c:pt idx="258">
                  <c:v>0.2930737202200332</c:v>
                </c:pt>
                <c:pt idx="259">
                  <c:v>0.55334242972732595</c:v>
                </c:pt>
                <c:pt idx="260">
                  <c:v>0.51257388099104162</c:v>
                </c:pt>
                <c:pt idx="261">
                  <c:v>0.18319235275509937</c:v>
                </c:pt>
                <c:pt idx="262">
                  <c:v>-0.26608231621843936</c:v>
                </c:pt>
                <c:pt idx="263">
                  <c:v>-0.59526078672917493</c:v>
                </c:pt>
                <c:pt idx="264">
                  <c:v>-0.61823834634705777</c:v>
                </c:pt>
                <c:pt idx="265">
                  <c:v>-0.3039446596843266</c:v>
                </c:pt>
                <c:pt idx="266">
                  <c:v>0.20003037107149629</c:v>
                </c:pt>
                <c:pt idx="267">
                  <c:v>0.63646597338738098</c:v>
                </c:pt>
                <c:pt idx="268">
                  <c:v>0.76802391776653456</c:v>
                </c:pt>
                <c:pt idx="269">
                  <c:v>0.50271784621653903</c:v>
                </c:pt>
                <c:pt idx="270">
                  <c:v>-4.9664053662892511E-2</c:v>
                </c:pt>
                <c:pt idx="271">
                  <c:v>-0.62248733222841324</c:v>
                </c:pt>
                <c:pt idx="272">
                  <c:v>-0.92042771188172479</c:v>
                </c:pt>
                <c:pt idx="273">
                  <c:v>-0.76947716732069171</c:v>
                </c:pt>
                <c:pt idx="274">
                  <c:v>-0.21347360494503004</c:v>
                </c:pt>
                <c:pt idx="275">
                  <c:v>0.49463359168535087</c:v>
                </c:pt>
                <c:pt idx="276">
                  <c:v>1.0078885050734425</c:v>
                </c:pt>
                <c:pt idx="277">
                  <c:v>1.0544140034967409</c:v>
                </c:pt>
                <c:pt idx="278">
                  <c:v>0.57844075270933326</c:v>
                </c:pt>
                <c:pt idx="279">
                  <c:v>-0.21874742433936759</c:v>
                </c:pt>
                <c:pt idx="280">
                  <c:v>-0.9636182080393294</c:v>
                </c:pt>
                <c:pt idx="281">
                  <c:v>-1.2853797086516143</c:v>
                </c:pt>
                <c:pt idx="282">
                  <c:v>-0.99918636086407309</c:v>
                </c:pt>
                <c:pt idx="283">
                  <c:v>-0.20758529524616179</c:v>
                </c:pt>
                <c:pt idx="284">
                  <c:v>0.73381061972739803</c:v>
                </c:pt>
                <c:pt idx="285">
                  <c:v>1.3763245404519842</c:v>
                </c:pt>
                <c:pt idx="286">
                  <c:v>1.3917940162966922</c:v>
                </c:pt>
                <c:pt idx="287">
                  <c:v>0.73816295619090799</c:v>
                </c:pt>
                <c:pt idx="288">
                  <c:v>-0.30568525380691308</c:v>
                </c:pt>
                <c:pt idx="289">
                  <c:v>-1.25877092408193</c:v>
                </c:pt>
                <c:pt idx="290">
                  <c:v>-1.6599755714638282</c:v>
                </c:pt>
                <c:pt idx="291">
                  <c:v>-1.2905394876751299</c:v>
                </c:pt>
                <c:pt idx="292">
                  <c:v>-0.2899809968557634</c:v>
                </c:pt>
                <c:pt idx="293">
                  <c:v>0.89475112807595691</c:v>
                </c:pt>
                <c:pt idx="294">
                  <c:v>1.7093671451418153</c:v>
                </c:pt>
                <c:pt idx="295">
                  <c:v>1.7517995914483799</c:v>
                </c:pt>
                <c:pt idx="296">
                  <c:v>0.96958671242772287</c:v>
                </c:pt>
                <c:pt idx="297">
                  <c:v>-0.30139841869225076</c:v>
                </c:pt>
                <c:pt idx="298">
                  <c:v>-1.4811857841118592</c:v>
                </c:pt>
                <c:pt idx="299">
                  <c:v>-2.0109748205617501</c:v>
                </c:pt>
                <c:pt idx="300">
                  <c:v>-1.6178301549056353</c:v>
                </c:pt>
                <c:pt idx="301">
                  <c:v>-0.45340769449633017</c:v>
                </c:pt>
                <c:pt idx="302">
                  <c:v>0.96307036426968851</c:v>
                </c:pt>
                <c:pt idx="303">
                  <c:v>1.976940612685107</c:v>
                </c:pt>
                <c:pt idx="304">
                  <c:v>2.1012838193087169</c:v>
                </c:pt>
                <c:pt idx="305">
                  <c:v>1.2504899056589167</c:v>
                </c:pt>
                <c:pt idx="306">
                  <c:v>-0.20772330995560848</c:v>
                </c:pt>
                <c:pt idx="307">
                  <c:v>-1.611416061757311</c:v>
                </c:pt>
                <c:pt idx="308">
                  <c:v>-2.3057437897542585</c:v>
                </c:pt>
                <c:pt idx="309">
                  <c:v>-1.9489561150063912</c:v>
                </c:pt>
                <c:pt idx="310">
                  <c:v>-0.6798665875217349</c:v>
                </c:pt>
                <c:pt idx="311">
                  <c:v>0.93497717941893788</c:v>
                </c:pt>
                <c:pt idx="312">
                  <c:v>2.1549452036151089</c:v>
                </c:pt>
                <c:pt idx="313">
                  <c:v>2.4059115078048361</c:v>
                </c:pt>
                <c:pt idx="314">
                  <c:v>1.5507551641259638</c:v>
                </c:pt>
                <c:pt idx="315">
                  <c:v>-3.7811707589984464E-2</c:v>
                </c:pt>
                <c:pt idx="316">
                  <c:v>-1.6400021500467827</c:v>
                </c:pt>
                <c:pt idx="317">
                  <c:v>-2.5160901546772236</c:v>
                </c:pt>
                <c:pt idx="318">
                  <c:v>-2.2488050128985875</c:v>
                </c:pt>
                <c:pt idx="319">
                  <c:v>-0.9421209093650561</c:v>
                </c:pt>
                <c:pt idx="320">
                  <c:v>0.81829000975330024</c:v>
                </c:pt>
                <c:pt idx="321">
                  <c:v>2.2283829352399458</c:v>
                </c:pt>
                <c:pt idx="322">
                  <c:v>2.6340894107427397</c:v>
                </c:pt>
                <c:pt idx="323">
                  <c:v>1.8354528758023181</c:v>
                </c:pt>
                <c:pt idx="324">
                  <c:v>0.18480118431887757</c:v>
                </c:pt>
                <c:pt idx="325">
                  <c:v>-1.5690952662934003</c:v>
                </c:pt>
                <c:pt idx="326">
                  <c:v>-2.6217721829338525</c:v>
                </c:pt>
                <c:pt idx="327">
                  <c:v>-2.4831807583456391</c:v>
                </c:pt>
                <c:pt idx="328">
                  <c:v>-1.2063871235451826</c:v>
                </c:pt>
                <c:pt idx="329">
                  <c:v>0.63212170718346916</c:v>
                </c:pt>
                <c:pt idx="330">
                  <c:v>2.1935642204709587</c:v>
                </c:pt>
                <c:pt idx="331">
                  <c:v>2.7607784887760545</c:v>
                </c:pt>
                <c:pt idx="332">
                  <c:v>2.068661226582849</c:v>
                </c:pt>
                <c:pt idx="333">
                  <c:v>0.42841474187705375</c:v>
                </c:pt>
                <c:pt idx="334">
                  <c:v>-1.4127848592296837</c:v>
                </c:pt>
                <c:pt idx="335">
                  <c:v>-2.6132472840993946</c:v>
                </c:pt>
                <c:pt idx="336">
                  <c:v>-2.6228278944988013</c:v>
                </c:pt>
                <c:pt idx="337">
                  <c:v>-1.4359459284542191</c:v>
                </c:pt>
                <c:pt idx="338">
                  <c:v>0.40520593164469221</c:v>
                </c:pt>
                <c:pt idx="339">
                  <c:v>2.0590873205456433</c:v>
                </c:pt>
                <c:pt idx="340">
                  <c:v>2.7707277458567132</c:v>
                </c:pt>
                <c:pt idx="341">
                  <c:v>2.2176034802248079</c:v>
                </c:pt>
                <c:pt idx="342">
                  <c:v>0.65646475616592914</c:v>
                </c:pt>
                <c:pt idx="343">
                  <c:v>-1.196028211192959</c:v>
                </c:pt>
                <c:pt idx="344">
                  <c:v>-2.4932959327092696</c:v>
                </c:pt>
                <c:pt idx="345">
                  <c:v>-2.6470795780009864</c:v>
                </c:pt>
                <c:pt idx="346">
                  <c:v>-1.5952874087909812</c:v>
                </c:pt>
                <c:pt idx="347">
                  <c:v>0.17299927915806004</c:v>
                </c:pt>
                <c:pt idx="348">
                  <c:v>1.8454156307370249</c:v>
                </c:pt>
                <c:pt idx="349">
                  <c:v>2.6607177247096776</c:v>
                </c:pt>
                <c:pt idx="350">
                  <c:v>2.2566259537132884</c:v>
                </c:pt>
                <c:pt idx="351">
                  <c:v>0.83156824270549301</c:v>
                </c:pt>
                <c:pt idx="352">
                  <c:v>-0.95224326577820528</c:v>
                </c:pt>
                <c:pt idx="353">
                  <c:v>-2.277275173593758</c:v>
                </c:pt>
                <c:pt idx="354">
                  <c:v>-2.5466786159784363</c:v>
                </c:pt>
                <c:pt idx="355">
                  <c:v>-1.6543237576600185</c:v>
                </c:pt>
                <c:pt idx="356">
                  <c:v>-2.6154627593097148E-2</c:v>
                </c:pt>
                <c:pt idx="357">
                  <c:v>1.5830373369101265</c:v>
                </c:pt>
                <c:pt idx="358">
                  <c:v>2.4405016251175824</c:v>
                </c:pt>
                <c:pt idx="359">
                  <c:v>2.1705380920489445</c:v>
                </c:pt>
                <c:pt idx="360">
                  <c:v>0.91986681896719391</c:v>
                </c:pt>
                <c:pt idx="361">
                  <c:v>-0.71978762224925352</c:v>
                </c:pt>
                <c:pt idx="362">
                  <c:v>-1.9919082975281335</c:v>
                </c:pt>
                <c:pt idx="363">
                  <c:v>-2.3253996781107724</c:v>
                </c:pt>
                <c:pt idx="364">
                  <c:v>-1.5921745350875325</c:v>
                </c:pt>
                <c:pt idx="365">
                  <c:v>-0.15538878134701942</c:v>
                </c:pt>
                <c:pt idx="366">
                  <c:v>1.3093598526624062</c:v>
                </c:pt>
                <c:pt idx="367">
                  <c:v>2.132273210968918</c:v>
                </c:pt>
                <c:pt idx="368">
                  <c:v>1.9568910337825689</c:v>
                </c:pt>
                <c:pt idx="369">
                  <c:v>0.8951694991595327</c:v>
                </c:pt>
                <c:pt idx="370">
                  <c:v>-0.53768853336240763</c:v>
                </c:pt>
                <c:pt idx="371">
                  <c:v>-1.6726869655359757</c:v>
                </c:pt>
                <c:pt idx="372">
                  <c:v>-2.0002269784275577</c:v>
                </c:pt>
                <c:pt idx="373">
                  <c:v>-1.4000587936400084</c:v>
                </c:pt>
                <c:pt idx="374">
                  <c:v>-0.18371365307246557</c:v>
                </c:pt>
                <c:pt idx="375">
                  <c:v>1.0646479384755223</c:v>
                </c:pt>
                <c:pt idx="376">
                  <c:v>1.7686578878870733</c:v>
                </c:pt>
              </c:numCache>
            </c:numRef>
          </c:xVal>
          <c:yVal>
            <c:numRef>
              <c:f>Chart!$X$5:$X$381</c:f>
              <c:numCache>
                <c:formatCode>#,##0.00</c:formatCode>
                <c:ptCount val="377"/>
                <c:pt idx="0">
                  <c:v>-5.2915785285958415E-3</c:v>
                </c:pt>
                <c:pt idx="1">
                  <c:v>-2.1716868025944652E-3</c:v>
                </c:pt>
                <c:pt idx="2">
                  <c:v>-8.5640751322613035E-3</c:v>
                </c:pt>
                <c:pt idx="3">
                  <c:v>-2.1719602419127581E-2</c:v>
                </c:pt>
                <c:pt idx="4">
                  <c:v>-3.2018133915408829E-2</c:v>
                </c:pt>
                <c:pt idx="5">
                  <c:v>-2.929982302000491E-2</c:v>
                </c:pt>
                <c:pt idx="6">
                  <c:v>-1.0176820147916987E-2</c:v>
                </c:pt>
                <c:pt idx="7">
                  <c:v>1.8325106738575871E-2</c:v>
                </c:pt>
                <c:pt idx="8">
                  <c:v>4.1416335127717759E-2</c:v>
                </c:pt>
                <c:pt idx="9">
                  <c:v>4.4438153531726997E-2</c:v>
                </c:pt>
                <c:pt idx="10">
                  <c:v>2.1729527479583285E-2</c:v>
                </c:pt>
                <c:pt idx="11">
                  <c:v>-1.8711930319902769E-2</c:v>
                </c:pt>
                <c:pt idx="12">
                  <c:v>-5.7913770051909702E-2</c:v>
                </c:pt>
                <c:pt idx="13">
                  <c:v>-7.5130612850313874E-2</c:v>
                </c:pt>
                <c:pt idx="14">
                  <c:v>-5.8983077757338027E-2</c:v>
                </c:pt>
                <c:pt idx="15">
                  <c:v>-1.4521430962562277E-2</c:v>
                </c:pt>
                <c:pt idx="16">
                  <c:v>3.7986485832316612E-2</c:v>
                </c:pt>
                <c:pt idx="17">
                  <c:v>7.2510969331094952E-2</c:v>
                </c:pt>
                <c:pt idx="18">
                  <c:v>7.0458881861952899E-2</c:v>
                </c:pt>
                <c:pt idx="19">
                  <c:v>3.0822726687631294E-2</c:v>
                </c:pt>
                <c:pt idx="20">
                  <c:v>-2.8277964145169827E-2</c:v>
                </c:pt>
                <c:pt idx="21">
                  <c:v>-7.7951617957441363E-2</c:v>
                </c:pt>
                <c:pt idx="22">
                  <c:v>-9.2906493811481181E-2</c:v>
                </c:pt>
                <c:pt idx="23">
                  <c:v>-6.4602886445519037E-2</c:v>
                </c:pt>
                <c:pt idx="24">
                  <c:v>-6.2639675234415319E-3</c:v>
                </c:pt>
                <c:pt idx="25">
                  <c:v>5.3199917790136476E-2</c:v>
                </c:pt>
                <c:pt idx="26">
                  <c:v>8.3609041417991539E-2</c:v>
                </c:pt>
                <c:pt idx="27">
                  <c:v>6.9057203694523964E-2</c:v>
                </c:pt>
                <c:pt idx="28">
                  <c:v>1.6509064246651731E-2</c:v>
                </c:pt>
                <c:pt idx="29">
                  <c:v>-4.7267212918330109E-2</c:v>
                </c:pt>
                <c:pt idx="30">
                  <c:v>-8.9199414873851357E-2</c:v>
                </c:pt>
                <c:pt idx="31">
                  <c:v>-8.7091913893041245E-2</c:v>
                </c:pt>
                <c:pt idx="32">
                  <c:v>-4.1570290786708743E-2</c:v>
                </c:pt>
                <c:pt idx="33">
                  <c:v>2.3676991504823219E-2</c:v>
                </c:pt>
                <c:pt idx="34">
                  <c:v>7.3877311227393119E-2</c:v>
                </c:pt>
                <c:pt idx="35">
                  <c:v>8.1444251460510611E-2</c:v>
                </c:pt>
                <c:pt idx="36">
                  <c:v>4.104983535755119E-2</c:v>
                </c:pt>
                <c:pt idx="37">
                  <c:v>-2.6669739138427129E-2</c:v>
                </c:pt>
                <c:pt idx="38">
                  <c:v>-8.5234244930863304E-2</c:v>
                </c:pt>
                <c:pt idx="39">
                  <c:v>-0.1014590310688025</c:v>
                </c:pt>
                <c:pt idx="40">
                  <c:v>-6.3762503519261243E-2</c:v>
                </c:pt>
                <c:pt idx="41">
                  <c:v>1.0256922380370511E-2</c:v>
                </c:pt>
                <c:pt idx="42">
                  <c:v>8.1651384286639719E-2</c:v>
                </c:pt>
                <c:pt idx="43">
                  <c:v>0.11004784047795953</c:v>
                </c:pt>
                <c:pt idx="44">
                  <c:v>7.5680427658964822E-2</c:v>
                </c:pt>
                <c:pt idx="45">
                  <c:v>-8.1993967763352438E-3</c:v>
                </c:pt>
                <c:pt idx="46">
                  <c:v>-9.9876152601926491E-2</c:v>
                </c:pt>
                <c:pt idx="47">
                  <c:v>-0.14946259244982976</c:v>
                </c:pt>
                <c:pt idx="48">
                  <c:v>-0.1252327979949939</c:v>
                </c:pt>
                <c:pt idx="49">
                  <c:v>-3.239114667208795E-2</c:v>
                </c:pt>
                <c:pt idx="50">
                  <c:v>8.6315915291290304E-2</c:v>
                </c:pt>
                <c:pt idx="51">
                  <c:v>0.16993214988832006</c:v>
                </c:pt>
                <c:pt idx="52">
                  <c:v>0.16997831610091541</c:v>
                </c:pt>
                <c:pt idx="53">
                  <c:v>7.7273438674103148E-2</c:v>
                </c:pt>
                <c:pt idx="54">
                  <c:v>-6.9497810950296696E-2</c:v>
                </c:pt>
                <c:pt idx="55">
                  <c:v>-0.19947509009709205</c:v>
                </c:pt>
                <c:pt idx="56">
                  <c:v>-0.24344639402942614</c:v>
                </c:pt>
                <c:pt idx="57">
                  <c:v>-0.16981317047403433</c:v>
                </c:pt>
                <c:pt idx="58">
                  <c:v>-4.334744340706893E-3</c:v>
                </c:pt>
                <c:pt idx="59">
                  <c:v>0.17782718964137426</c:v>
                </c:pt>
                <c:pt idx="60">
                  <c:v>0.28597269809191517</c:v>
                </c:pt>
                <c:pt idx="61">
                  <c:v>0.25850228231506445</c:v>
                </c:pt>
                <c:pt idx="62">
                  <c:v>9.6559970816606805E-2</c:v>
                </c:pt>
                <c:pt idx="63">
                  <c:v>-0.13118501332094606</c:v>
                </c:pt>
                <c:pt idx="64">
                  <c:v>-0.31727896777627146</c:v>
                </c:pt>
                <c:pt idx="65">
                  <c:v>-0.36591306654082523</c:v>
                </c:pt>
                <c:pt idx="66">
                  <c:v>-0.24148249832521929</c:v>
                </c:pt>
                <c:pt idx="67">
                  <c:v>9.0467635720065144E-3</c:v>
                </c:pt>
                <c:pt idx="68">
                  <c:v>0.27297728295160267</c:v>
                </c:pt>
                <c:pt idx="69">
                  <c:v>0.42239794549315818</c:v>
                </c:pt>
                <c:pt idx="70">
                  <c:v>0.37581746325541959</c:v>
                </c:pt>
                <c:pt idx="71">
                  <c:v>0.14135413143860689</c:v>
                </c:pt>
                <c:pt idx="72">
                  <c:v>-0.18095143658545351</c:v>
                </c:pt>
                <c:pt idx="73">
                  <c:v>-0.44152689999497491</c:v>
                </c:pt>
                <c:pt idx="74">
                  <c:v>-0.51055282778158018</c:v>
                </c:pt>
                <c:pt idx="75">
                  <c:v>-0.34209864415565888</c:v>
                </c:pt>
                <c:pt idx="76">
                  <c:v>-1.632084878321246E-3</c:v>
                </c:pt>
                <c:pt idx="77">
                  <c:v>0.35864194053880444</c:v>
                </c:pt>
                <c:pt idx="78">
                  <c:v>0.56775674735957937</c:v>
                </c:pt>
                <c:pt idx="79">
                  <c:v>0.51694991947906599</c:v>
                </c:pt>
                <c:pt idx="80">
                  <c:v>0.2153386650711778</c:v>
                </c:pt>
                <c:pt idx="81">
                  <c:v>-0.20785817410907223</c:v>
                </c:pt>
                <c:pt idx="82">
                  <c:v>-0.55847927810359688</c:v>
                </c:pt>
                <c:pt idx="83">
                  <c:v>-0.66652344833371546</c:v>
                </c:pt>
                <c:pt idx="84">
                  <c:v>-0.46829400949504085</c:v>
                </c:pt>
                <c:pt idx="85">
                  <c:v>-4.2000684991650383E-2</c:v>
                </c:pt>
                <c:pt idx="86">
                  <c:v>0.42241395055476294</c:v>
                </c:pt>
                <c:pt idx="87">
                  <c:v>0.7079548935876262</c:v>
                </c:pt>
                <c:pt idx="88">
                  <c:v>0.67199316384589058</c:v>
                </c:pt>
                <c:pt idx="89">
                  <c:v>0.31700359993850996</c:v>
                </c:pt>
                <c:pt idx="90">
                  <c:v>-0.204265556157737</c:v>
                </c:pt>
                <c:pt idx="91">
                  <c:v>-0.65441713899849785</c:v>
                </c:pt>
                <c:pt idx="92">
                  <c:v>-0.81968954618231304</c:v>
                </c:pt>
                <c:pt idx="93">
                  <c:v>-0.61143466135247526</c:v>
                </c:pt>
                <c:pt idx="94">
                  <c:v>-0.11262027315191525</c:v>
                </c:pt>
                <c:pt idx="95">
                  <c:v>0.45464873362004082</c:v>
                </c:pt>
                <c:pt idx="96">
                  <c:v>0.82818788171988111</c:v>
                </c:pt>
                <c:pt idx="97">
                  <c:v>0.82712322610576039</c:v>
                </c:pt>
                <c:pt idx="98">
                  <c:v>0.43931528083114063</c:v>
                </c:pt>
                <c:pt idx="99">
                  <c:v>-0.16738115644118487</c:v>
                </c:pt>
                <c:pt idx="100">
                  <c:v>-0.71777083304683398</c:v>
                </c:pt>
                <c:pt idx="101">
                  <c:v>-0.95444958944231928</c:v>
                </c:pt>
                <c:pt idx="102">
                  <c:v>-0.75838301148366705</c:v>
                </c:pt>
                <c:pt idx="103">
                  <c:v>-0.20835762992991627</c:v>
                </c:pt>
                <c:pt idx="104">
                  <c:v>0.45022807080701122</c:v>
                </c:pt>
                <c:pt idx="105">
                  <c:v>0.91511510820904229</c:v>
                </c:pt>
                <c:pt idx="106">
                  <c:v>0.96628039899951768</c:v>
                </c:pt>
                <c:pt idx="107">
                  <c:v>0.57020170349347765</c:v>
                </c:pt>
                <c:pt idx="108">
                  <c:v>-0.10018122638827245</c:v>
                </c:pt>
                <c:pt idx="109">
                  <c:v>-0.74107386071164205</c:v>
                </c:pt>
                <c:pt idx="110">
                  <c:v>-1.0559149271181654</c:v>
                </c:pt>
                <c:pt idx="111">
                  <c:v>-0.89299534397915437</c:v>
                </c:pt>
                <c:pt idx="112">
                  <c:v>-0.31857213659008399</c:v>
                </c:pt>
                <c:pt idx="113">
                  <c:v>0.40977058425758778</c:v>
                </c:pt>
                <c:pt idx="114">
                  <c:v>0.95897288031535222</c:v>
                </c:pt>
                <c:pt idx="115">
                  <c:v>1.0733099344627692</c:v>
                </c:pt>
                <c:pt idx="116">
                  <c:v>0.6938283020968532</c:v>
                </c:pt>
                <c:pt idx="117">
                  <c:v>-1.1538015388922665E-2</c:v>
                </c:pt>
                <c:pt idx="118">
                  <c:v>-0.72245005775174109</c:v>
                </c:pt>
                <c:pt idx="119">
                  <c:v>-1.1121459848064263</c:v>
                </c:pt>
                <c:pt idx="120">
                  <c:v>-0.99817928883488116</c:v>
                </c:pt>
                <c:pt idx="121">
                  <c:v>-0.42813470987058488</c:v>
                </c:pt>
                <c:pt idx="122">
                  <c:v>0.34008394743433124</c:v>
                </c:pt>
                <c:pt idx="123">
                  <c:v>0.95531950307277702</c:v>
                </c:pt>
                <c:pt idx="124">
                  <c:v>1.1342808029718654</c:v>
                </c:pt>
                <c:pt idx="125">
                  <c:v>0.79252649560186872</c:v>
                </c:pt>
                <c:pt idx="126">
                  <c:v>8.4510598684787483E-2</c:v>
                </c:pt>
                <c:pt idx="127">
                  <c:v>-0.6663949585434471</c:v>
                </c:pt>
                <c:pt idx="128">
                  <c:v>-1.1161299390710435</c:v>
                </c:pt>
                <c:pt idx="129">
                  <c:v>-1.0582504912243482</c:v>
                </c:pt>
                <c:pt idx="130">
                  <c:v>-0.51918189733475772</c:v>
                </c:pt>
                <c:pt idx="131">
                  <c:v>0.25375041145793653</c:v>
                </c:pt>
                <c:pt idx="132">
                  <c:v>0.90614325880731517</c:v>
                </c:pt>
                <c:pt idx="133">
                  <c:v>1.1396642519536913</c:v>
                </c:pt>
                <c:pt idx="134">
                  <c:v>0.84914033158492686</c:v>
                </c:pt>
                <c:pt idx="135">
                  <c:v>0.1702964824192249</c:v>
                </c:pt>
                <c:pt idx="136">
                  <c:v>-0.58369922520973472</c:v>
                </c:pt>
                <c:pt idx="137">
                  <c:v>-1.0672055659006672</c:v>
                </c:pt>
                <c:pt idx="138">
                  <c:v>-1.0612742626290406</c:v>
                </c:pt>
                <c:pt idx="139">
                  <c:v>-0.57340217366227153</c:v>
                </c:pt>
                <c:pt idx="140">
                  <c:v>0.16785205584105573</c:v>
                </c:pt>
                <c:pt idx="141">
                  <c:v>0.82013955202848654</c:v>
                </c:pt>
                <c:pt idx="142">
                  <c:v>1.0860583134450479</c:v>
                </c:pt>
                <c:pt idx="143">
                  <c:v>0.8494878319718161</c:v>
                </c:pt>
                <c:pt idx="144">
                  <c:v>0.22669550701713637</c:v>
                </c:pt>
                <c:pt idx="145">
                  <c:v>-0.49047291813328248</c:v>
                </c:pt>
                <c:pt idx="146">
                  <c:v>-0.97170294832076676</c:v>
                </c:pt>
                <c:pt idx="147">
                  <c:v>-1.0010649972772321</c:v>
                </c:pt>
                <c:pt idx="148">
                  <c:v>-0.57456863316360063</c:v>
                </c:pt>
                <c:pt idx="149">
                  <c:v>0.10196049536155746</c:v>
                </c:pt>
                <c:pt idx="150">
                  <c:v>0.71206796792182281</c:v>
                </c:pt>
                <c:pt idx="151">
                  <c:v>0.97719130784433217</c:v>
                </c:pt>
                <c:pt idx="152">
                  <c:v>0.78460313372214585</c:v>
                </c:pt>
                <c:pt idx="153">
                  <c:v>0.2356791149735469</c:v>
                </c:pt>
                <c:pt idx="154">
                  <c:v>-0.40635013874487158</c:v>
                </c:pt>
                <c:pt idx="155">
                  <c:v>-0.84266138236316857</c:v>
                </c:pt>
                <c:pt idx="156">
                  <c:v>-0.87854659164299287</c:v>
                </c:pt>
                <c:pt idx="157">
                  <c:v>-0.51098453419879819</c:v>
                </c:pt>
                <c:pt idx="158">
                  <c:v>7.5622055542151179E-2</c:v>
                </c:pt>
                <c:pt idx="159">
                  <c:v>0.6012205985788992</c:v>
                </c:pt>
                <c:pt idx="160">
                  <c:v>0.82402193747398877</c:v>
                </c:pt>
                <c:pt idx="161">
                  <c:v>0.65243849638510631</c:v>
                </c:pt>
                <c:pt idx="162">
                  <c:v>0.18291730486638055</c:v>
                </c:pt>
                <c:pt idx="163">
                  <c:v>-0.35206858468751973</c:v>
                </c:pt>
                <c:pt idx="164">
                  <c:v>-0.69860662560612585</c:v>
                </c:pt>
                <c:pt idx="165">
                  <c:v>-0.70224843405629878</c:v>
                </c:pt>
                <c:pt idx="166">
                  <c:v>-0.37750297185282833</c:v>
                </c:pt>
                <c:pt idx="167">
                  <c:v>0.10564926558934214</c:v>
                </c:pt>
                <c:pt idx="168">
                  <c:v>0.50915439075669566</c:v>
                </c:pt>
                <c:pt idx="169">
                  <c:v>0.64386590129511756</c:v>
                </c:pt>
                <c:pt idx="170">
                  <c:v>0.45876147897493524</c:v>
                </c:pt>
                <c:pt idx="171">
                  <c:v>6.008350337469788E-2</c:v>
                </c:pt>
                <c:pt idx="172">
                  <c:v>-0.34671251310929474</c:v>
                </c:pt>
                <c:pt idx="173">
                  <c:v>-0.56149387749722923</c:v>
                </c:pt>
                <c:pt idx="174">
                  <c:v>-0.48781577907069229</c:v>
                </c:pt>
                <c:pt idx="175">
                  <c:v>-0.1768214835731004</c:v>
                </c:pt>
                <c:pt idx="176">
                  <c:v>0.2035715296041363</c:v>
                </c:pt>
                <c:pt idx="177">
                  <c:v>0.45694658199395927</c:v>
                </c:pt>
                <c:pt idx="178">
                  <c:v>0.45860534831200261</c:v>
                </c:pt>
                <c:pt idx="179">
                  <c:v>0.21707622520218864</c:v>
                </c:pt>
                <c:pt idx="180">
                  <c:v>-0.13346666030794027</c:v>
                </c:pt>
                <c:pt idx="181">
                  <c:v>-0.40496748513421676</c:v>
                </c:pt>
                <c:pt idx="182">
                  <c:v>-0.4540394620468669</c:v>
                </c:pt>
                <c:pt idx="183">
                  <c:v>-0.2565380395410094</c:v>
                </c:pt>
                <c:pt idx="184">
                  <c:v>8.0166939885074714E-2</c:v>
                </c:pt>
                <c:pt idx="185">
                  <c:v>0.3735951897395593</c:v>
                </c:pt>
                <c:pt idx="186">
                  <c:v>0.46230911543261632</c:v>
                </c:pt>
                <c:pt idx="187">
                  <c:v>0.2921619567779129</c:v>
                </c:pt>
                <c:pt idx="188">
                  <c:v>-5.2482007335250692E-2</c:v>
                </c:pt>
                <c:pt idx="189">
                  <c:v>-0.38990509883922497</c:v>
                </c:pt>
                <c:pt idx="190">
                  <c:v>-0.53475203345665012</c:v>
                </c:pt>
                <c:pt idx="191">
                  <c:v>-0.39675662610935813</c:v>
                </c:pt>
                <c:pt idx="192">
                  <c:v>-3.3028258091185307E-2</c:v>
                </c:pt>
                <c:pt idx="193">
                  <c:v>0.37507212714513666</c:v>
                </c:pt>
                <c:pt idx="194">
                  <c:v>0.61137459203128897</c:v>
                </c:pt>
                <c:pt idx="195">
                  <c:v>0.53693420271623715</c:v>
                </c:pt>
                <c:pt idx="196">
                  <c:v>0.16752076623672238</c:v>
                </c:pt>
                <c:pt idx="197">
                  <c:v>-0.32519777703112063</c:v>
                </c:pt>
                <c:pt idx="198">
                  <c:v>-0.69318922586446252</c:v>
                </c:pt>
                <c:pt idx="199">
                  <c:v>-0.73556128115727981</c:v>
                </c:pt>
                <c:pt idx="200">
                  <c:v>-0.40506630674374455</c:v>
                </c:pt>
                <c:pt idx="201">
                  <c:v>0.15769483228158176</c:v>
                </c:pt>
                <c:pt idx="202">
                  <c:v>0.68372834515147851</c:v>
                </c:pt>
                <c:pt idx="203">
                  <c:v>0.90380575974785127</c:v>
                </c:pt>
                <c:pt idx="204">
                  <c:v>0.68443272814354572</c:v>
                </c:pt>
                <c:pt idx="205">
                  <c:v>0.10366569394503847</c:v>
                </c:pt>
                <c:pt idx="206">
                  <c:v>-0.57456301717835634</c:v>
                </c:pt>
                <c:pt idx="207">
                  <c:v>-1.0203997750825031</c:v>
                </c:pt>
                <c:pt idx="208">
                  <c:v>-0.99778264158718688</c:v>
                </c:pt>
                <c:pt idx="209">
                  <c:v>-0.4868636141315385</c:v>
                </c:pt>
                <c:pt idx="210">
                  <c:v>0.29337982593019796</c:v>
                </c:pt>
                <c:pt idx="211">
                  <c:v>0.9787791191942441</c:v>
                </c:pt>
                <c:pt idx="212">
                  <c:v>1.2299328538214915</c:v>
                </c:pt>
                <c:pt idx="213">
                  <c:v>0.89916950871487422</c:v>
                </c:pt>
                <c:pt idx="214">
                  <c:v>0.1128182089608567</c:v>
                </c:pt>
                <c:pt idx="215">
                  <c:v>-0.77548603252275705</c:v>
                </c:pt>
                <c:pt idx="216">
                  <c:v>-1.3440521926289799</c:v>
                </c:pt>
                <c:pt idx="217">
                  <c:v>-1.3031319189002963</c:v>
                </c:pt>
                <c:pt idx="218">
                  <c:v>-0.64088209130736618</c:v>
                </c:pt>
                <c:pt idx="219">
                  <c:v>0.35757740919043551</c:v>
                </c:pt>
                <c:pt idx="220">
                  <c:v>1.2328454015554267</c:v>
                </c:pt>
                <c:pt idx="221">
                  <c:v>1.5629190679659684</c:v>
                </c:pt>
                <c:pt idx="222">
                  <c:v>1.1662000813721436</c:v>
                </c:pt>
                <c:pt idx="223">
                  <c:v>0.1983523283570664</c:v>
                </c:pt>
                <c:pt idx="224">
                  <c:v>-0.90753596408337633</c:v>
                </c:pt>
                <c:pt idx="225">
                  <c:v>-1.6351447257048108</c:v>
                </c:pt>
                <c:pt idx="226">
                  <c:v>-1.6262222256009382</c:v>
                </c:pt>
                <c:pt idx="227">
                  <c:v>-0.85611357950028821</c:v>
                </c:pt>
                <c:pt idx="228">
                  <c:v>0.34214052952546153</c:v>
                </c:pt>
                <c:pt idx="229">
                  <c:v>1.4219078393289808</c:v>
                </c:pt>
                <c:pt idx="230">
                  <c:v>1.8728949279162903</c:v>
                </c:pt>
                <c:pt idx="231">
                  <c:v>1.4623836790968872</c:v>
                </c:pt>
                <c:pt idx="232">
                  <c:v>0.35369234435318569</c:v>
                </c:pt>
                <c:pt idx="233">
                  <c:v>-0.95781195192097612</c:v>
                </c:pt>
                <c:pt idx="234">
                  <c:v>-1.8665999554163122</c:v>
                </c:pt>
                <c:pt idx="235">
                  <c:v>-1.9371344385960891</c:v>
                </c:pt>
                <c:pt idx="236">
                  <c:v>-1.1124206239496042</c:v>
                </c:pt>
                <c:pt idx="237">
                  <c:v>0.24884088412657027</c:v>
                </c:pt>
                <c:pt idx="238">
                  <c:v>1.5284873404347303</c:v>
                </c:pt>
                <c:pt idx="239">
                  <c:v>2.1303757012836555</c:v>
                </c:pt>
                <c:pt idx="240">
                  <c:v>1.7586016254869705</c:v>
                </c:pt>
                <c:pt idx="241">
                  <c:v>0.56239101066357522</c:v>
                </c:pt>
                <c:pt idx="242">
                  <c:v>-0.92305237256219608</c:v>
                </c:pt>
                <c:pt idx="243">
                  <c:v>-2.0166887743930304</c:v>
                </c:pt>
                <c:pt idx="244">
                  <c:v>-2.204724271961215</c:v>
                </c:pt>
                <c:pt idx="245">
                  <c:v>-1.3823346029976955</c:v>
                </c:pt>
                <c:pt idx="246">
                  <c:v>8.984621201863989E-2</c:v>
                </c:pt>
                <c:pt idx="247">
                  <c:v>1.54421201254367</c:v>
                </c:pt>
                <c:pt idx="248">
                  <c:v>2.309851761954699</c:v>
                </c:pt>
                <c:pt idx="249">
                  <c:v>2.0228672326711568</c:v>
                </c:pt>
                <c:pt idx="250">
                  <c:v>0.79944732504327332</c:v>
                </c:pt>
                <c:pt idx="251">
                  <c:v>-0.81067536045102873</c:v>
                </c:pt>
                <c:pt idx="252">
                  <c:v>-2.072006757739207</c:v>
                </c:pt>
                <c:pt idx="253">
                  <c:v>-2.4002946629134461</c:v>
                </c:pt>
                <c:pt idx="254">
                  <c:v>-1.6338833094293748</c:v>
                </c:pt>
                <c:pt idx="255">
                  <c:v>-0.1130671507554226</c:v>
                </c:pt>
                <c:pt idx="256">
                  <c:v>1.471414382432328</c:v>
                </c:pt>
                <c:pt idx="257">
                  <c:v>2.393113654223948</c:v>
                </c:pt>
                <c:pt idx="258">
                  <c:v>2.2239904772467676</c:v>
                </c:pt>
                <c:pt idx="259">
                  <c:v>1.0337707162343703</c:v>
                </c:pt>
                <c:pt idx="260">
                  <c:v>-0.63855984286396139</c:v>
                </c:pt>
                <c:pt idx="261">
                  <c:v>-2.0296068620593735</c:v>
                </c:pt>
                <c:pt idx="262">
                  <c:v>-2.5011974573239186</c:v>
                </c:pt>
                <c:pt idx="263">
                  <c:v>-1.8341550237126341</c:v>
                </c:pt>
                <c:pt idx="264">
                  <c:v>-0.33054039505532862</c:v>
                </c:pt>
                <c:pt idx="265">
                  <c:v>1.3235057084747937</c:v>
                </c:pt>
                <c:pt idx="266">
                  <c:v>2.371884367111297</c:v>
                </c:pt>
                <c:pt idx="267">
                  <c:v>2.335374404818467</c:v>
                </c:pt>
                <c:pt idx="268">
                  <c:v>1.231550837907168</c:v>
                </c:pt>
                <c:pt idx="269">
                  <c:v>-0.43352348630694543</c:v>
                </c:pt>
                <c:pt idx="270">
                  <c:v>-1.897977302220035</c:v>
                </c:pt>
                <c:pt idx="271">
                  <c:v>-2.4939150825809264</c:v>
                </c:pt>
                <c:pt idx="272">
                  <c:v>-1.9531997354453197</c:v>
                </c:pt>
                <c:pt idx="273">
                  <c:v>-0.52871577600288411</c:v>
                </c:pt>
                <c:pt idx="274">
                  <c:v>1.12401325805137</c:v>
                </c:pt>
                <c:pt idx="275">
                  <c:v>2.2493957431377689</c:v>
                </c:pt>
                <c:pt idx="276">
                  <c:v>2.3384825745724465</c:v>
                </c:pt>
                <c:pt idx="277">
                  <c:v>1.3601678198880647</c:v>
                </c:pt>
                <c:pt idx="278">
                  <c:v>-0.22861317637824594</c:v>
                </c:pt>
                <c:pt idx="279">
                  <c:v>-1.6966808113277148</c:v>
                </c:pt>
                <c:pt idx="280">
                  <c:v>-2.376214724463579</c:v>
                </c:pt>
                <c:pt idx="281">
                  <c:v>-1.9678065030437486</c:v>
                </c:pt>
                <c:pt idx="282">
                  <c:v>-0.67305656631239841</c:v>
                </c:pt>
                <c:pt idx="283">
                  <c:v>0.90432586059507247</c:v>
                </c:pt>
                <c:pt idx="284">
                  <c:v>2.0406581867924607</c:v>
                </c:pt>
                <c:pt idx="285">
                  <c:v>2.2255345142932992</c:v>
                </c:pt>
                <c:pt idx="286">
                  <c:v>1.3921930480196958</c:v>
                </c:pt>
                <c:pt idx="287">
                  <c:v>-5.9475713206312161E-2</c:v>
                </c:pt>
                <c:pt idx="288">
                  <c:v>-1.4546272374658444</c:v>
                </c:pt>
                <c:pt idx="289">
                  <c:v>-2.158061524560102</c:v>
                </c:pt>
                <c:pt idx="290">
                  <c:v>-1.8646883993833052</c:v>
                </c:pt>
                <c:pt idx="291">
                  <c:v>-0.73247605158598239</c:v>
                </c:pt>
                <c:pt idx="292">
                  <c:v>0.70035400681980964</c:v>
                </c:pt>
                <c:pt idx="293">
                  <c:v>1.7713209786897626</c:v>
                </c:pt>
                <c:pt idx="294">
                  <c:v>2.0010591527962589</c:v>
                </c:pt>
                <c:pt idx="295">
                  <c:v>1.3089973673865629</c:v>
                </c:pt>
                <c:pt idx="296">
                  <c:v>3.9797705050003573E-2</c:v>
                </c:pt>
                <c:pt idx="297">
                  <c:v>-1.2071175429508503</c:v>
                </c:pt>
                <c:pt idx="298">
                  <c:v>-1.8611140049484702</c:v>
                </c:pt>
                <c:pt idx="299">
                  <c:v>-1.6426561693522823</c:v>
                </c:pt>
                <c:pt idx="300">
                  <c:v>-0.68328957326277084</c:v>
                </c:pt>
                <c:pt idx="301">
                  <c:v>0.54845353093678517</c:v>
                </c:pt>
                <c:pt idx="302">
                  <c:v>1.475187779121873</c:v>
                </c:pt>
                <c:pt idx="303">
                  <c:v>1.6820577750055239</c:v>
                </c:pt>
                <c:pt idx="304">
                  <c:v>1.1035081636570057</c:v>
                </c:pt>
                <c:pt idx="305">
                  <c:v>4.0876410607635881E-2</c:v>
                </c:pt>
                <c:pt idx="306">
                  <c:v>-0.99195378432716919</c:v>
                </c:pt>
                <c:pt idx="307">
                  <c:v>-1.5167892531764275</c:v>
                </c:pt>
                <c:pt idx="308">
                  <c:v>-1.3134648072280293</c:v>
                </c:pt>
                <c:pt idx="309">
                  <c:v>-0.51250184669340137</c:v>
                </c:pt>
                <c:pt idx="310">
                  <c:v>0.48106828085913761</c:v>
                </c:pt>
                <c:pt idx="311">
                  <c:v>1.1906186125511611</c:v>
                </c:pt>
                <c:pt idx="312">
                  <c:v>1.2966852650894354</c:v>
                </c:pt>
                <c:pt idx="313">
                  <c:v>0.78173835471157982</c:v>
                </c:pt>
                <c:pt idx="314">
                  <c:v>-7.5060901994691301E-2</c:v>
                </c:pt>
                <c:pt idx="315">
                  <c:v>-0.84503707174382081</c:v>
                </c:pt>
                <c:pt idx="316">
                  <c:v>-1.1630583965968313</c:v>
                </c:pt>
                <c:pt idx="317">
                  <c:v>-0.90116328866228845</c:v>
                </c:pt>
                <c:pt idx="318">
                  <c:v>-0.2199993083001526</c:v>
                </c:pt>
                <c:pt idx="319">
                  <c:v>0.5226027473163084</c:v>
                </c:pt>
                <c:pt idx="320">
                  <c:v>0.95619541917072559</c:v>
                </c:pt>
                <c:pt idx="321">
                  <c:v>0.88153351736216801</c:v>
                </c:pt>
                <c:pt idx="322">
                  <c:v>0.36284124307004501</c:v>
                </c:pt>
                <c:pt idx="323">
                  <c:v>-0.31450748723309402</c:v>
                </c:pt>
                <c:pt idx="324">
                  <c:v>-0.7959571792424619</c:v>
                </c:pt>
                <c:pt idx="325">
                  <c:v>-0.84029385467660889</c:v>
                </c:pt>
                <c:pt idx="326">
                  <c:v>-0.43995059336196568</c:v>
                </c:pt>
                <c:pt idx="327">
                  <c:v>0.18067058614861453</c:v>
                </c:pt>
                <c:pt idx="328">
                  <c:v>0.68603163346782792</c:v>
                </c:pt>
                <c:pt idx="329">
                  <c:v>0.80613461378688067</c:v>
                </c:pt>
                <c:pt idx="330">
                  <c:v>0.47777334396407167</c:v>
                </c:pt>
                <c:pt idx="331">
                  <c:v>-0.12238852300120798</c:v>
                </c:pt>
                <c:pt idx="332">
                  <c:v>-0.670123885891728</c:v>
                </c:pt>
                <c:pt idx="333">
                  <c:v>-0.8641017114500954</c:v>
                </c:pt>
                <c:pt idx="334">
                  <c:v>-0.58661880311286352</c:v>
                </c:pt>
                <c:pt idx="335">
                  <c:v>2.9278971173752465E-2</c:v>
                </c:pt>
                <c:pt idx="336">
                  <c:v>0.66309582778584963</c:v>
                </c:pt>
                <c:pt idx="337">
                  <c:v>0.97068797072865898</c:v>
                </c:pt>
                <c:pt idx="338">
                  <c:v>0.76598259778393663</c:v>
                </c:pt>
                <c:pt idx="339">
                  <c:v>0.12656002708066627</c:v>
                </c:pt>
                <c:pt idx="340">
                  <c:v>-0.63446468612774187</c:v>
                </c:pt>
                <c:pt idx="341">
                  <c:v>-1.1207909162389538</c:v>
                </c:pt>
                <c:pt idx="342">
                  <c:v>-1.0557743659675407</c:v>
                </c:pt>
                <c:pt idx="343">
                  <c:v>-0.43328939575616882</c:v>
                </c:pt>
                <c:pt idx="344">
                  <c:v>0.46335273164946389</c:v>
                </c:pt>
                <c:pt idx="345">
                  <c:v>1.1903533306169862</c:v>
                </c:pt>
                <c:pt idx="346">
                  <c:v>1.3615501283293219</c:v>
                </c:pt>
                <c:pt idx="347">
                  <c:v>0.84912041163543717</c:v>
                </c:pt>
                <c:pt idx="348">
                  <c:v>-0.13578600326997511</c:v>
                </c:pt>
                <c:pt idx="349">
                  <c:v>-1.1293284335485574</c:v>
                </c:pt>
                <c:pt idx="350">
                  <c:v>-1.6332885723614423</c:v>
                </c:pt>
                <c:pt idx="351">
                  <c:v>-1.3627130776584044</c:v>
                </c:pt>
                <c:pt idx="352">
                  <c:v>-0.4006600438030225</c:v>
                </c:pt>
                <c:pt idx="353">
                  <c:v>0.82172002150735124</c:v>
                </c:pt>
                <c:pt idx="354">
                  <c:v>1.7187139103817199</c:v>
                </c:pt>
                <c:pt idx="355">
                  <c:v>1.8301833710672974</c:v>
                </c:pt>
                <c:pt idx="356">
                  <c:v>1.0545304821629951</c:v>
                </c:pt>
                <c:pt idx="357">
                  <c:v>-0.28226244615028528</c:v>
                </c:pt>
                <c:pt idx="358">
                  <c:v>-1.5632035498930836</c:v>
                </c:pt>
                <c:pt idx="359">
                  <c:v>-2.1654783097459847</c:v>
                </c:pt>
                <c:pt idx="360">
                  <c:v>-1.7622492388359885</c:v>
                </c:pt>
                <c:pt idx="361">
                  <c:v>-0.49523677810160249</c:v>
                </c:pt>
                <c:pt idx="362">
                  <c:v>1.0712785425559272</c:v>
                </c:pt>
                <c:pt idx="363">
                  <c:v>2.2023234231590414</c:v>
                </c:pt>
                <c:pt idx="364">
                  <c:v>2.3373015792650227</c:v>
                </c:pt>
                <c:pt idx="365">
                  <c:v>1.3661480734867293</c:v>
                </c:pt>
                <c:pt idx="366">
                  <c:v>-0.29878697290861095</c:v>
                </c:pt>
                <c:pt idx="367">
                  <c:v>-1.8976481496549793</c:v>
                </c:pt>
                <c:pt idx="368">
                  <c:v>-2.6706822791888873</c:v>
                </c:pt>
                <c:pt idx="369">
                  <c:v>-2.2191647415294962</c:v>
                </c:pt>
                <c:pt idx="370">
                  <c:v>-0.70821637506956803</c:v>
                </c:pt>
                <c:pt idx="371">
                  <c:v>1.1905540270892996</c:v>
                </c:pt>
                <c:pt idx="372">
                  <c:v>2.5983527445499779</c:v>
                </c:pt>
                <c:pt idx="373">
                  <c:v>2.8367211229694385</c:v>
                </c:pt>
                <c:pt idx="374">
                  <c:v>1.7539460250269698</c:v>
                </c:pt>
                <c:pt idx="375">
                  <c:v>-0.18645334315741774</c:v>
                </c:pt>
                <c:pt idx="376">
                  <c:v>-2.1042170964574929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2517072"/>
        <c:axId val="942517464"/>
      </c:scatterChart>
      <c:valAx>
        <c:axId val="942517072"/>
        <c:scaling>
          <c:orientation val="minMax"/>
          <c:max val="3.5"/>
          <c:min val="-3.5"/>
        </c:scaling>
        <c:delete val="1"/>
        <c:axPos val="b"/>
        <c:numFmt formatCode="#,##0.00" sourceLinked="1"/>
        <c:majorTickMark val="out"/>
        <c:minorTickMark val="none"/>
        <c:tickLblPos val="nextTo"/>
        <c:crossAx val="942517464"/>
        <c:crosses val="autoZero"/>
        <c:crossBetween val="midCat"/>
        <c:majorUnit val="1"/>
        <c:minorUnit val="1"/>
      </c:valAx>
      <c:valAx>
        <c:axId val="942517464"/>
        <c:scaling>
          <c:orientation val="minMax"/>
          <c:max val="3.5"/>
          <c:min val="-3.5"/>
        </c:scaling>
        <c:delete val="1"/>
        <c:axPos val="l"/>
        <c:numFmt formatCode="#,##0.00" sourceLinked="1"/>
        <c:majorTickMark val="out"/>
        <c:minorTickMark val="none"/>
        <c:tickLblPos val="nextTo"/>
        <c:crossAx val="942517072"/>
        <c:crosses val="autoZero"/>
        <c:crossBetween val="midCat"/>
        <c:majorUnit val="1"/>
        <c:minorUnit val="0.2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CheckBox" checked="Checked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Scroll" dx="0" fmlaLink="$R$2" horiz="1" max="1000" page="10" val="473"/>
</file>

<file path=xl/ctrlProps/ctrlProp5.xml><?xml version="1.0" encoding="utf-8"?>
<formControlPr xmlns="http://schemas.microsoft.com/office/spreadsheetml/2009/9/main" objectType="Scroll" dx="0" fmlaLink="$S$2" horiz="1" max="1000" page="10" val="298"/>
</file>

<file path=xl/ctrlProps/ctrlProp6.xml><?xml version="1.0" encoding="utf-8"?>
<formControlPr xmlns="http://schemas.microsoft.com/office/spreadsheetml/2009/9/main" objectType="Scroll" dx="0" fmlaLink="$T$2" horiz="1" max="1000" min="1" page="10" val="622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Scroll" dx="0" fmlaLink="$A$13" horiz="1" max="10" min="1" page="10" val="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714375</xdr:colOff>
      <xdr:row>0</xdr:row>
      <xdr:rowOff>0</xdr:rowOff>
    </xdr:from>
    <xdr:to>
      <xdr:col>9</xdr:col>
      <xdr:colOff>525780</xdr:colOff>
      <xdr:row>29</xdr:row>
      <xdr:rowOff>135255</xdr:rowOff>
    </xdr:to>
    <xdr:graphicFrame macro="">
      <xdr:nvGraphicFramePr>
        <xdr:cNvPr id="104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9525</xdr:rowOff>
        </xdr:from>
        <xdr:to>
          <xdr:col>0</xdr:col>
          <xdr:colOff>1219200</xdr:colOff>
          <xdr:row>2</xdr:row>
          <xdr:rowOff>9525</xdr:rowOff>
        </xdr:to>
        <xdr:sp macro="" textlink="">
          <xdr:nvSpPr>
            <xdr:cNvPr id="1027" name="NewChartButt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5</xdr:row>
          <xdr:rowOff>161925</xdr:rowOff>
        </xdr:from>
        <xdr:to>
          <xdr:col>0</xdr:col>
          <xdr:colOff>1143000</xdr:colOff>
          <xdr:row>7</xdr:row>
          <xdr:rowOff>0</xdr:rowOff>
        </xdr:to>
        <xdr:sp macro="" textlink="">
          <xdr:nvSpPr>
            <xdr:cNvPr id="1029" name="cbSmoothLine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Smooth lines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142875</xdr:rowOff>
        </xdr:from>
        <xdr:to>
          <xdr:col>1</xdr:col>
          <xdr:colOff>790575</xdr:colOff>
          <xdr:row>3</xdr:row>
          <xdr:rowOff>57150</xdr:rowOff>
        </xdr:to>
        <xdr:sp macro="" textlink="">
          <xdr:nvSpPr>
            <xdr:cNvPr id="1032" name="AddToFavoritesButton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 Favorites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2</xdr:row>
          <xdr:rowOff>57150</xdr:rowOff>
        </xdr:from>
        <xdr:to>
          <xdr:col>0</xdr:col>
          <xdr:colOff>1219200</xdr:colOff>
          <xdr:row>3</xdr:row>
          <xdr:rowOff>28575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3</xdr:row>
          <xdr:rowOff>76200</xdr:rowOff>
        </xdr:from>
        <xdr:to>
          <xdr:col>0</xdr:col>
          <xdr:colOff>1219200</xdr:colOff>
          <xdr:row>4</xdr:row>
          <xdr:rowOff>47625</xdr:rowOff>
        </xdr:to>
        <xdr:sp macro="" textlink="">
          <xdr:nvSpPr>
            <xdr:cNvPr id="1038" name="Scroll Bar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4</xdr:row>
          <xdr:rowOff>76200</xdr:rowOff>
        </xdr:from>
        <xdr:to>
          <xdr:col>0</xdr:col>
          <xdr:colOff>1219200</xdr:colOff>
          <xdr:row>5</xdr:row>
          <xdr:rowOff>47625</xdr:rowOff>
        </xdr:to>
        <xdr:sp macro="" textlink="">
          <xdr:nvSpPr>
            <xdr:cNvPr id="1039" name="Scroll Bar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8</xdr:row>
          <xdr:rowOff>152400</xdr:rowOff>
        </xdr:from>
        <xdr:to>
          <xdr:col>0</xdr:col>
          <xdr:colOff>1209675</xdr:colOff>
          <xdr:row>10</xdr:row>
          <xdr:rowOff>28575</xdr:rowOff>
        </xdr:to>
        <xdr:sp macro="" textlink="">
          <xdr:nvSpPr>
            <xdr:cNvPr id="1042" name="AnimateButton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Animation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76200</xdr:rowOff>
        </xdr:from>
        <xdr:to>
          <xdr:col>0</xdr:col>
          <xdr:colOff>1209675</xdr:colOff>
          <xdr:row>11</xdr:row>
          <xdr:rowOff>57150</xdr:rowOff>
        </xdr:to>
        <xdr:sp macro="" textlink="">
          <xdr:nvSpPr>
            <xdr:cNvPr id="1048" name="Scroll Bar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383"/>
  <sheetViews>
    <sheetView showGridLines="0" tabSelected="1" showOutlineSymbols="0" workbookViewId="0"/>
  </sheetViews>
  <sheetFormatPr defaultRowHeight="15" x14ac:dyDescent="0.25"/>
  <cols>
    <col min="1" max="1" width="20" customWidth="1"/>
    <col min="2" max="2" width="16.7109375" customWidth="1"/>
    <col min="3" max="5" width="10.42578125" customWidth="1"/>
    <col min="8" max="8" width="12.42578125" customWidth="1"/>
    <col min="13" max="13" width="6.28515625" customWidth="1"/>
    <col min="14" max="16" width="6.85546875" customWidth="1"/>
    <col min="17" max="17" width="7.5703125" customWidth="1"/>
    <col min="18" max="20" width="9.28515625" customWidth="1"/>
    <col min="21" max="22" width="9.85546875" customWidth="1"/>
  </cols>
  <sheetData>
    <row r="1" spans="1:24" x14ac:dyDescent="0.25">
      <c r="A1" s="2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9"/>
      <c r="O1" s="9"/>
      <c r="P1" s="9"/>
      <c r="Q1" s="10"/>
      <c r="R1" s="11" t="s">
        <v>0</v>
      </c>
      <c r="S1" s="11" t="s">
        <v>1</v>
      </c>
      <c r="T1" s="11" t="s">
        <v>2</v>
      </c>
      <c r="U1" s="10"/>
      <c r="V1" s="11" t="s">
        <v>8</v>
      </c>
      <c r="W1" s="13">
        <f>AVERAGE(x)</f>
        <v>15.931657487736206</v>
      </c>
      <c r="X1" s="13">
        <f>AVERAGE(y)</f>
        <v>260.65106774645369</v>
      </c>
    </row>
    <row r="2" spans="1:24" ht="18" customHeight="1" x14ac:dyDescent="0.25">
      <c r="A2" s="1"/>
      <c r="B2" s="18" t="s">
        <v>9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9"/>
      <c r="O2" s="9"/>
      <c r="P2" s="9"/>
      <c r="Q2" s="10"/>
      <c r="R2" s="12">
        <v>473</v>
      </c>
      <c r="S2" s="12">
        <v>298.16543579101562</v>
      </c>
      <c r="T2" s="12">
        <v>622.69671630859375</v>
      </c>
      <c r="U2" s="10"/>
      <c r="V2" s="13">
        <v>0</v>
      </c>
      <c r="W2" s="13">
        <f>STDEV(x)</f>
        <v>56640.331578779209</v>
      </c>
      <c r="X2" s="13">
        <f>STDEV(y)</f>
        <v>49257.715129405689</v>
      </c>
    </row>
    <row r="3" spans="1:24" x14ac:dyDescent="0.25">
      <c r="A3" s="1"/>
      <c r="B3" s="19">
        <f>a_inc</f>
        <v>473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9"/>
      <c r="O3" s="9"/>
      <c r="P3" s="9"/>
      <c r="Q3" s="10"/>
      <c r="R3" s="10"/>
      <c r="S3" s="10"/>
      <c r="T3" s="10"/>
      <c r="U3" s="10"/>
      <c r="V3" s="10"/>
      <c r="W3" s="10"/>
      <c r="X3" s="10"/>
    </row>
    <row r="4" spans="1:24" x14ac:dyDescent="0.25">
      <c r="A4" s="1"/>
      <c r="B4" s="20">
        <f>b_inc</f>
        <v>298.16543579101562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9"/>
      <c r="O4" s="9"/>
      <c r="P4" s="9"/>
      <c r="Q4" s="10"/>
      <c r="R4" s="11" t="s">
        <v>3</v>
      </c>
      <c r="S4" s="11" t="s">
        <v>4</v>
      </c>
      <c r="T4" s="11" t="s">
        <v>5</v>
      </c>
      <c r="U4" s="11" t="s">
        <v>6</v>
      </c>
      <c r="V4" s="11" t="s">
        <v>7</v>
      </c>
      <c r="W4" s="11" t="s">
        <v>10</v>
      </c>
      <c r="X4" s="11" t="s">
        <v>11</v>
      </c>
    </row>
    <row r="5" spans="1:24" x14ac:dyDescent="0.25">
      <c r="A5" s="1"/>
      <c r="B5" s="21">
        <f>t_inc</f>
        <v>622.69671630859375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9"/>
      <c r="O5" s="9"/>
      <c r="P5" s="9"/>
      <c r="Q5" s="10"/>
      <c r="R5" s="14">
        <f>1+animate</f>
        <v>1</v>
      </c>
      <c r="S5" s="14">
        <f>1+animate</f>
        <v>1</v>
      </c>
      <c r="T5" s="14">
        <f>animate+1</f>
        <v>1</v>
      </c>
      <c r="U5" s="15">
        <f>(R5-S5)*COS(T5)+S5*COS((R5/S5-1)*T5)</f>
        <v>1</v>
      </c>
      <c r="V5" s="15">
        <f>(R5-S5)*SIN(T5)-S5*SIN((R5/S5-1)*T5)</f>
        <v>0</v>
      </c>
      <c r="W5" s="16">
        <f t="shared" ref="W5:W68" si="0">(U5-$W$1)/$W$2</f>
        <v>-2.6362235303951649E-4</v>
      </c>
      <c r="X5" s="16">
        <f t="shared" ref="X5:X68" si="1">(V5-$X$1)/$X$2</f>
        <v>-5.2915785285958415E-3</v>
      </c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9"/>
      <c r="O6" s="9"/>
      <c r="P6" s="9"/>
      <c r="Q6" s="10"/>
      <c r="R6" s="14">
        <f t="shared" ref="R6:R69" si="2">R5+a_inc</f>
        <v>474</v>
      </c>
      <c r="S6" s="14">
        <f>S5+b_inc</f>
        <v>299.16543579101562</v>
      </c>
      <c r="T6" s="14">
        <f t="shared" ref="T6:T69" si="3">T5+t_inc</f>
        <v>623.69671630859375</v>
      </c>
      <c r="U6" s="15">
        <f t="shared" ref="U6:U36" si="4">(R6-S6)*COS(T6)+S6*COS((R6/S6-1)*T6)</f>
        <v>282.65248821462689</v>
      </c>
      <c r="V6" s="15">
        <f t="shared" ref="V6:V36" si="5">(R6-S6)*SIN(T6)-S6*SIN((R6/S6-1)*T6)</f>
        <v>153.67873787396564</v>
      </c>
      <c r="W6" s="16">
        <f t="shared" si="0"/>
        <v>4.7090266474855867E-3</v>
      </c>
      <c r="X6" s="16">
        <f t="shared" si="1"/>
        <v>-2.1716868025944652E-3</v>
      </c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9"/>
      <c r="O7" s="9"/>
      <c r="P7" s="9"/>
      <c r="Q7" s="10"/>
      <c r="R7" s="14">
        <f t="shared" si="2"/>
        <v>947</v>
      </c>
      <c r="S7" s="14">
        <f t="shared" ref="S7:S70" si="6">S6+b_inc</f>
        <v>597.33087158203125</v>
      </c>
      <c r="T7" s="14">
        <f t="shared" si="3"/>
        <v>1246.3934326171875</v>
      </c>
      <c r="U7" s="15">
        <f t="shared" si="4"/>
        <v>189.24909175694148</v>
      </c>
      <c r="V7" s="15">
        <f t="shared" si="5"/>
        <v>-161.19570546530093</v>
      </c>
      <c r="W7" s="16">
        <f t="shared" si="0"/>
        <v>3.0599650361888093E-3</v>
      </c>
      <c r="X7" s="16">
        <f t="shared" si="1"/>
        <v>-8.5640751322613035E-3</v>
      </c>
    </row>
    <row r="8" spans="1:24" x14ac:dyDescent="0.25">
      <c r="A8" s="3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9"/>
      <c r="O8" s="9"/>
      <c r="P8" s="9"/>
      <c r="Q8" s="10"/>
      <c r="R8" s="14">
        <f t="shared" si="2"/>
        <v>1420</v>
      </c>
      <c r="S8" s="14">
        <f t="shared" si="6"/>
        <v>895.49630737304687</v>
      </c>
      <c r="T8" s="14">
        <f t="shared" si="3"/>
        <v>1869.0901489257812</v>
      </c>
      <c r="U8" s="15">
        <f t="shared" si="4"/>
        <v>-433.13559610739384</v>
      </c>
      <c r="V8" s="15">
        <f t="shared" si="5"/>
        <v>-809.20692093888329</v>
      </c>
      <c r="W8" s="16">
        <f t="shared" si="0"/>
        <v>-7.9284008599161699E-3</v>
      </c>
      <c r="X8" s="16">
        <f t="shared" si="1"/>
        <v>-2.1719602419127581E-2</v>
      </c>
    </row>
    <row r="9" spans="1:24" ht="14.25" customHeight="1" x14ac:dyDescent="0.25">
      <c r="A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9"/>
      <c r="O9" s="9"/>
      <c r="P9" s="9"/>
      <c r="Q9" s="10"/>
      <c r="R9" s="14">
        <f t="shared" si="2"/>
        <v>1893</v>
      </c>
      <c r="S9" s="14">
        <f t="shared" si="6"/>
        <v>1193.6617431640625</v>
      </c>
      <c r="T9" s="14">
        <f t="shared" si="3"/>
        <v>2491.786865234375</v>
      </c>
      <c r="U9" s="15">
        <f t="shared" si="4"/>
        <v>-1295.5971115883569</v>
      </c>
      <c r="V9" s="15">
        <f t="shared" si="5"/>
        <v>-1316.4890516339171</v>
      </c>
      <c r="W9" s="16">
        <f t="shared" si="0"/>
        <v>-2.3155386497904416E-2</v>
      </c>
      <c r="X9" s="16">
        <f t="shared" si="1"/>
        <v>-3.2018133915408829E-2</v>
      </c>
    </row>
    <row r="10" spans="1:24" ht="14.25" customHeight="1" x14ac:dyDescent="0.25">
      <c r="A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9"/>
      <c r="O10" s="9"/>
      <c r="P10" s="9"/>
      <c r="Q10" s="10"/>
      <c r="R10" s="14">
        <f t="shared" si="2"/>
        <v>2366</v>
      </c>
      <c r="S10" s="14">
        <f t="shared" si="6"/>
        <v>1491.8271789550781</v>
      </c>
      <c r="T10" s="14">
        <f t="shared" si="3"/>
        <v>3114.4835815429687</v>
      </c>
      <c r="U10" s="15">
        <f t="shared" si="4"/>
        <v>-1787.6670947467064</v>
      </c>
      <c r="V10" s="15">
        <f t="shared" si="5"/>
        <v>-1182.5912679149512</v>
      </c>
      <c r="W10" s="16">
        <f t="shared" si="0"/>
        <v>-3.1843011895611437E-2</v>
      </c>
      <c r="X10" s="16">
        <f t="shared" si="1"/>
        <v>-2.929982302000491E-2</v>
      </c>
    </row>
    <row r="11" spans="1:24" ht="14.25" customHeight="1" x14ac:dyDescent="0.25">
      <c r="A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9"/>
      <c r="O11" s="9"/>
      <c r="P11" s="9"/>
      <c r="Q11" s="10"/>
      <c r="R11" s="14">
        <f t="shared" si="2"/>
        <v>2839</v>
      </c>
      <c r="S11" s="14">
        <f t="shared" si="6"/>
        <v>1789.9926147460937</v>
      </c>
      <c r="T11" s="14">
        <f t="shared" si="3"/>
        <v>3737.1802978515625</v>
      </c>
      <c r="U11" s="15">
        <f t="shared" si="4"/>
        <v>-1348.434691141154</v>
      </c>
      <c r="V11" s="15">
        <f t="shared" si="5"/>
        <v>-240.63584002283756</v>
      </c>
      <c r="W11" s="16">
        <f t="shared" si="0"/>
        <v>-2.4088247907433892E-2</v>
      </c>
      <c r="X11" s="16">
        <f t="shared" si="1"/>
        <v>-1.0176820147916987E-2</v>
      </c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9"/>
      <c r="O12" s="9"/>
      <c r="P12" s="9"/>
      <c r="Q12" s="10"/>
      <c r="R12" s="14">
        <f t="shared" si="2"/>
        <v>3312</v>
      </c>
      <c r="S12" s="14">
        <f t="shared" si="6"/>
        <v>2088.1580505371094</v>
      </c>
      <c r="T12" s="14">
        <f t="shared" si="3"/>
        <v>4359.8770141601562</v>
      </c>
      <c r="U12" s="15">
        <f t="shared" si="4"/>
        <v>121.8841661725786</v>
      </c>
      <c r="V12" s="15">
        <f t="shared" si="5"/>
        <v>1163.3039551911766</v>
      </c>
      <c r="W12" s="16">
        <f t="shared" si="0"/>
        <v>1.8706194990662523E-3</v>
      </c>
      <c r="X12" s="16">
        <f t="shared" si="1"/>
        <v>1.8325106738575871E-2</v>
      </c>
    </row>
    <row r="13" spans="1:24" x14ac:dyDescent="0.25">
      <c r="A13" s="8">
        <v>2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9"/>
      <c r="O13" s="9"/>
      <c r="P13" s="9"/>
      <c r="Q13" s="10"/>
      <c r="R13" s="14">
        <f t="shared" si="2"/>
        <v>3785</v>
      </c>
      <c r="S13" s="14">
        <f t="shared" si="6"/>
        <v>2386.323486328125</v>
      </c>
      <c r="T13" s="14">
        <f t="shared" si="3"/>
        <v>4982.57373046875</v>
      </c>
      <c r="U13" s="15">
        <f t="shared" si="4"/>
        <v>2070.3249299789195</v>
      </c>
      <c r="V13" s="15">
        <f t="shared" si="5"/>
        <v>2300.725105171573</v>
      </c>
      <c r="W13" s="16">
        <f t="shared" si="0"/>
        <v>3.6270855329188778E-2</v>
      </c>
      <c r="X13" s="16">
        <f t="shared" si="1"/>
        <v>4.1416335127717759E-2</v>
      </c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9"/>
      <c r="O14" s="9"/>
      <c r="P14" s="9"/>
      <c r="Q14" s="10"/>
      <c r="R14" s="14">
        <f t="shared" si="2"/>
        <v>4258</v>
      </c>
      <c r="S14" s="14">
        <f t="shared" si="6"/>
        <v>2684.4889221191406</v>
      </c>
      <c r="T14" s="14">
        <f t="shared" si="3"/>
        <v>5605.2704467773437</v>
      </c>
      <c r="U14" s="15">
        <f t="shared" si="4"/>
        <v>3478.128725883862</v>
      </c>
      <c r="V14" s="15">
        <f t="shared" si="5"/>
        <v>2449.5729752890552</v>
      </c>
      <c r="W14" s="16">
        <f t="shared" si="0"/>
        <v>6.1126002830344799E-2</v>
      </c>
      <c r="X14" s="16">
        <f t="shared" si="1"/>
        <v>4.4438153531726997E-2</v>
      </c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9"/>
      <c r="O15" s="9"/>
      <c r="P15" s="9"/>
      <c r="Q15" s="10"/>
      <c r="R15" s="14">
        <f t="shared" si="2"/>
        <v>4731</v>
      </c>
      <c r="S15" s="14">
        <f t="shared" si="6"/>
        <v>2982.6543579101562</v>
      </c>
      <c r="T15" s="14">
        <f t="shared" si="3"/>
        <v>6227.9671630859375</v>
      </c>
      <c r="U15" s="15">
        <f t="shared" si="4"/>
        <v>3376.0236217524562</v>
      </c>
      <c r="V15" s="15">
        <f t="shared" si="5"/>
        <v>1330.9979422323599</v>
      </c>
      <c r="W15" s="16">
        <f t="shared" si="0"/>
        <v>5.9323310273903966E-2</v>
      </c>
      <c r="X15" s="16">
        <f t="shared" si="1"/>
        <v>2.1729527479583285E-2</v>
      </c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9"/>
      <c r="O16" s="9"/>
      <c r="P16" s="9"/>
      <c r="Q16" s="10"/>
      <c r="R16" s="14">
        <f t="shared" si="2"/>
        <v>5204</v>
      </c>
      <c r="S16" s="14">
        <f t="shared" si="6"/>
        <v>3280.8197937011719</v>
      </c>
      <c r="T16" s="14">
        <f t="shared" si="3"/>
        <v>6850.6638793945312</v>
      </c>
      <c r="U16" s="15">
        <f t="shared" si="4"/>
        <v>1433.2488911270459</v>
      </c>
      <c r="V16" s="15">
        <f t="shared" si="5"/>
        <v>-661.055865472606</v>
      </c>
      <c r="W16" s="16">
        <f t="shared" si="0"/>
        <v>2.5023109754716194E-2</v>
      </c>
      <c r="X16" s="16">
        <f t="shared" si="1"/>
        <v>-1.8711930319902769E-2</v>
      </c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9"/>
      <c r="O17" s="9"/>
      <c r="P17" s="9"/>
      <c r="Q17" s="10"/>
      <c r="R17" s="14">
        <f t="shared" si="2"/>
        <v>5677</v>
      </c>
      <c r="S17" s="14">
        <f t="shared" si="6"/>
        <v>3578.9852294921875</v>
      </c>
      <c r="T17" s="14">
        <f t="shared" si="3"/>
        <v>7473.360595703125</v>
      </c>
      <c r="U17" s="15">
        <f t="shared" si="4"/>
        <v>-1714.9850584142453</v>
      </c>
      <c r="V17" s="15">
        <f t="shared" si="5"/>
        <v>-2592.0489195404207</v>
      </c>
      <c r="W17" s="16">
        <f t="shared" si="0"/>
        <v>-3.0559791365177748E-2</v>
      </c>
      <c r="X17" s="16">
        <f t="shared" si="1"/>
        <v>-5.7913770051909702E-2</v>
      </c>
    </row>
    <row r="18" spans="1:24" x14ac:dyDescent="0.2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9"/>
      <c r="O18" s="9"/>
      <c r="P18" s="9"/>
      <c r="Q18" s="10"/>
      <c r="R18" s="14">
        <f t="shared" si="2"/>
        <v>6150</v>
      </c>
      <c r="S18" s="14">
        <f t="shared" si="6"/>
        <v>3877.1506652832031</v>
      </c>
      <c r="T18" s="14">
        <f t="shared" si="3"/>
        <v>8096.0573120117187</v>
      </c>
      <c r="U18" s="15">
        <f t="shared" si="4"/>
        <v>-4634.1722461554546</v>
      </c>
      <c r="V18" s="15">
        <f t="shared" si="5"/>
        <v>-3440.1112575319735</v>
      </c>
      <c r="W18" s="16">
        <f t="shared" si="0"/>
        <v>-8.2098811465739954E-2</v>
      </c>
      <c r="X18" s="16">
        <f t="shared" si="1"/>
        <v>-7.5130612850313874E-2</v>
      </c>
    </row>
    <row r="19" spans="1:24" x14ac:dyDescent="0.25">
      <c r="A19" s="4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9"/>
      <c r="O19" s="9"/>
      <c r="P19" s="9"/>
      <c r="Q19" s="10"/>
      <c r="R19" s="14">
        <f t="shared" si="2"/>
        <v>6623</v>
      </c>
      <c r="S19" s="14">
        <f t="shared" si="6"/>
        <v>4175.3161010742187</v>
      </c>
      <c r="T19" s="14">
        <f t="shared" si="3"/>
        <v>8718.7540283203125</v>
      </c>
      <c r="U19" s="15">
        <f t="shared" si="4"/>
        <v>-5735.6322743769833</v>
      </c>
      <c r="V19" s="15">
        <f t="shared" si="5"/>
        <v>-2644.7205738800881</v>
      </c>
      <c r="W19" s="16">
        <f t="shared" si="0"/>
        <v>-0.10154537891193408</v>
      </c>
      <c r="X19" s="16">
        <f t="shared" si="1"/>
        <v>-5.8983077757338027E-2</v>
      </c>
    </row>
    <row r="20" spans="1:24" x14ac:dyDescent="0.25">
      <c r="A20" s="5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9"/>
      <c r="O20" s="9"/>
      <c r="P20" s="9"/>
      <c r="Q20" s="10"/>
      <c r="R20" s="14">
        <f t="shared" si="2"/>
        <v>7096</v>
      </c>
      <c r="S20" s="14">
        <f t="shared" si="6"/>
        <v>4473.4815368652344</v>
      </c>
      <c r="T20" s="14">
        <f t="shared" si="3"/>
        <v>9341.4507446289062</v>
      </c>
      <c r="U20" s="15">
        <f t="shared" si="4"/>
        <v>-4113.7085967250514</v>
      </c>
      <c r="V20" s="15">
        <f t="shared" si="5"/>
        <v>-454.64144187877037</v>
      </c>
      <c r="W20" s="16">
        <f t="shared" si="0"/>
        <v>-7.2909888397616543E-2</v>
      </c>
      <c r="X20" s="16">
        <f t="shared" si="1"/>
        <v>-1.4521430962562277E-2</v>
      </c>
    </row>
    <row r="21" spans="1:24" x14ac:dyDescent="0.25">
      <c r="A21" s="5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9"/>
      <c r="O21" s="9"/>
      <c r="P21" s="9"/>
      <c r="Q21" s="10"/>
      <c r="R21" s="14">
        <f t="shared" si="2"/>
        <v>7569</v>
      </c>
      <c r="S21" s="14">
        <f t="shared" si="6"/>
        <v>4771.64697265625</v>
      </c>
      <c r="T21" s="14">
        <f t="shared" si="3"/>
        <v>9964.1474609375</v>
      </c>
      <c r="U21" s="15">
        <f t="shared" si="4"/>
        <v>-143.40386181781855</v>
      </c>
      <c r="V21" s="15">
        <f t="shared" si="5"/>
        <v>2131.7785656419105</v>
      </c>
      <c r="W21" s="16">
        <f t="shared" si="0"/>
        <v>-2.8131106380254877E-3</v>
      </c>
      <c r="X21" s="16">
        <f t="shared" si="1"/>
        <v>3.7986485832316612E-2</v>
      </c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9"/>
      <c r="O22" s="9"/>
      <c r="P22" s="9"/>
      <c r="Q22" s="10"/>
      <c r="R22" s="14">
        <f t="shared" si="2"/>
        <v>8042</v>
      </c>
      <c r="S22" s="14">
        <f t="shared" si="6"/>
        <v>5069.8124084472656</v>
      </c>
      <c r="T22" s="14">
        <f t="shared" si="3"/>
        <v>10586.844177246094</v>
      </c>
      <c r="U22" s="15">
        <f t="shared" si="4"/>
        <v>4519.3392452727448</v>
      </c>
      <c r="V22" s="15">
        <f t="shared" si="5"/>
        <v>3832.3757388146014</v>
      </c>
      <c r="W22" s="16">
        <f t="shared" si="0"/>
        <v>7.9508849299749662E-2</v>
      </c>
      <c r="X22" s="16">
        <f t="shared" si="1"/>
        <v>7.2510969331094952E-2</v>
      </c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9"/>
      <c r="O23" s="9"/>
      <c r="P23" s="9"/>
      <c r="Q23" s="10"/>
      <c r="R23" s="14">
        <f t="shared" si="2"/>
        <v>8515</v>
      </c>
      <c r="S23" s="14">
        <f t="shared" si="6"/>
        <v>5367.9778442382812</v>
      </c>
      <c r="T23" s="14">
        <f t="shared" si="3"/>
        <v>11209.540893554688</v>
      </c>
      <c r="U23" s="15">
        <f t="shared" si="4"/>
        <v>7615.8064087877592</v>
      </c>
      <c r="V23" s="15">
        <f t="shared" si="5"/>
        <v>3731.2945988389793</v>
      </c>
      <c r="W23" s="16">
        <f t="shared" si="0"/>
        <v>0.13417779415238065</v>
      </c>
      <c r="X23" s="16">
        <f t="shared" si="1"/>
        <v>7.0458881861952899E-2</v>
      </c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9"/>
      <c r="O24" s="9"/>
      <c r="P24" s="9"/>
      <c r="Q24" s="10"/>
      <c r="R24" s="14">
        <f t="shared" si="2"/>
        <v>8988</v>
      </c>
      <c r="S24" s="14">
        <f t="shared" si="6"/>
        <v>5666.1432800292969</v>
      </c>
      <c r="T24" s="14">
        <f t="shared" si="3"/>
        <v>11832.237609863281</v>
      </c>
      <c r="U24" s="15">
        <f t="shared" si="4"/>
        <v>7370.064705968367</v>
      </c>
      <c r="V24" s="15">
        <f t="shared" si="5"/>
        <v>1778.9081584373262</v>
      </c>
      <c r="W24" s="16">
        <f t="shared" si="0"/>
        <v>0.12983915954397274</v>
      </c>
      <c r="X24" s="16">
        <f t="shared" si="1"/>
        <v>3.0822726687631294E-2</v>
      </c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9"/>
      <c r="O25" s="9"/>
      <c r="P25" s="9"/>
      <c r="Q25" s="10"/>
      <c r="R25" s="14">
        <f t="shared" si="2"/>
        <v>9461</v>
      </c>
      <c r="S25" s="14">
        <f t="shared" si="6"/>
        <v>5964.3087158203125</v>
      </c>
      <c r="T25" s="14">
        <f t="shared" si="3"/>
        <v>12454.934326171875</v>
      </c>
      <c r="U25" s="15">
        <f t="shared" si="4"/>
        <v>3463.3883295403325</v>
      </c>
      <c r="V25" s="15">
        <f t="shared" si="5"/>
        <v>-1132.2568345558698</v>
      </c>
      <c r="W25" s="16">
        <f t="shared" si="0"/>
        <v>6.0865757243275316E-2</v>
      </c>
      <c r="X25" s="16">
        <f t="shared" si="1"/>
        <v>-2.8277964145169827E-2</v>
      </c>
    </row>
    <row r="26" spans="1:24" x14ac:dyDescent="0.25">
      <c r="A26" s="6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9"/>
      <c r="O26" s="9"/>
      <c r="P26" s="9"/>
      <c r="Q26" s="10"/>
      <c r="R26" s="14">
        <f t="shared" si="2"/>
        <v>9934</v>
      </c>
      <c r="S26" s="14">
        <f t="shared" si="6"/>
        <v>6262.4741516113281</v>
      </c>
      <c r="T26" s="14">
        <f t="shared" si="3"/>
        <v>13077.631042480469</v>
      </c>
      <c r="U26" s="15">
        <f t="shared" si="4"/>
        <v>-2621.9357593791874</v>
      </c>
      <c r="V26" s="15">
        <f t="shared" si="5"/>
        <v>-3579.0675234774585</v>
      </c>
      <c r="W26" s="16">
        <f t="shared" si="0"/>
        <v>-4.6572245312476654E-2</v>
      </c>
      <c r="X26" s="16">
        <f t="shared" si="1"/>
        <v>-7.7951617957441363E-2</v>
      </c>
    </row>
    <row r="27" spans="1:24" x14ac:dyDescent="0.25">
      <c r="A27" s="5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9"/>
      <c r="O27" s="9"/>
      <c r="P27" s="9"/>
      <c r="Q27" s="10"/>
      <c r="R27" s="14">
        <f t="shared" si="2"/>
        <v>10407</v>
      </c>
      <c r="S27" s="14">
        <f t="shared" si="6"/>
        <v>6560.6395874023437</v>
      </c>
      <c r="T27" s="14">
        <f t="shared" si="3"/>
        <v>13700.327758789063</v>
      </c>
      <c r="U27" s="15">
        <f t="shared" si="4"/>
        <v>-8138.3821885407779</v>
      </c>
      <c r="V27" s="15">
        <f t="shared" si="5"/>
        <v>-4315.710538091379</v>
      </c>
      <c r="W27" s="16">
        <f t="shared" si="0"/>
        <v>-0.14396656267251795</v>
      </c>
      <c r="X27" s="16">
        <f t="shared" si="1"/>
        <v>-9.2906493811481181E-2</v>
      </c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9"/>
      <c r="O28" s="9"/>
      <c r="P28" s="9"/>
      <c r="Q28" s="10"/>
      <c r="R28" s="14">
        <f t="shared" si="2"/>
        <v>10880</v>
      </c>
      <c r="S28" s="14">
        <f t="shared" si="6"/>
        <v>6858.8050231933594</v>
      </c>
      <c r="T28" s="14">
        <f t="shared" si="3"/>
        <v>14323.024475097656</v>
      </c>
      <c r="U28" s="15">
        <f t="shared" si="4"/>
        <v>-10310.303753140459</v>
      </c>
      <c r="V28" s="15">
        <f t="shared" si="5"/>
        <v>-2921.5395093242669</v>
      </c>
      <c r="W28" s="16">
        <f t="shared" si="0"/>
        <v>-0.18231241101167933</v>
      </c>
      <c r="X28" s="16">
        <f t="shared" si="1"/>
        <v>-6.4602886445519037E-2</v>
      </c>
    </row>
    <row r="29" spans="1:24" x14ac:dyDescent="0.25">
      <c r="A29" s="5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9"/>
      <c r="O29" s="9"/>
      <c r="P29" s="9"/>
      <c r="Q29" s="10"/>
      <c r="R29" s="14">
        <f t="shared" si="2"/>
        <v>11353</v>
      </c>
      <c r="S29" s="14">
        <f t="shared" si="6"/>
        <v>7156.970458984375</v>
      </c>
      <c r="T29" s="14">
        <f t="shared" si="3"/>
        <v>14945.72119140625</v>
      </c>
      <c r="U29" s="15">
        <f t="shared" si="4"/>
        <v>-7716.9012353723647</v>
      </c>
      <c r="V29" s="15">
        <f t="shared" si="5"/>
        <v>-47.897660103078124</v>
      </c>
      <c r="W29" s="16">
        <f t="shared" si="0"/>
        <v>-0.13652520522597494</v>
      </c>
      <c r="X29" s="16">
        <f t="shared" si="1"/>
        <v>-6.2639675234415319E-3</v>
      </c>
    </row>
    <row r="30" spans="1:24" x14ac:dyDescent="0.25">
      <c r="A30" s="7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9"/>
      <c r="O30" s="9"/>
      <c r="P30" s="9"/>
      <c r="Q30" s="10"/>
      <c r="R30" s="14">
        <f t="shared" si="2"/>
        <v>11826</v>
      </c>
      <c r="S30" s="14">
        <f t="shared" si="6"/>
        <v>7455.1358947753906</v>
      </c>
      <c r="T30" s="14">
        <f t="shared" si="3"/>
        <v>15568.417907714844</v>
      </c>
      <c r="U30" s="15">
        <f t="shared" si="4"/>
        <v>-1137.0183364374304</v>
      </c>
      <c r="V30" s="15">
        <f t="shared" si="5"/>
        <v>2881.1574631607982</v>
      </c>
      <c r="W30" s="16">
        <f t="shared" si="0"/>
        <v>-2.0355636377614873E-2</v>
      </c>
      <c r="X30" s="16">
        <f t="shared" si="1"/>
        <v>5.3199917790136476E-2</v>
      </c>
    </row>
    <row r="31" spans="1:24" x14ac:dyDescent="0.25">
      <c r="A31" s="7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9"/>
      <c r="O31" s="9"/>
      <c r="P31" s="9"/>
      <c r="Q31" s="10"/>
      <c r="R31" s="14">
        <f t="shared" si="2"/>
        <v>12299</v>
      </c>
      <c r="S31" s="14">
        <f t="shared" si="6"/>
        <v>7753.3013305664062</v>
      </c>
      <c r="T31" s="14">
        <f t="shared" si="3"/>
        <v>16191.114624023438</v>
      </c>
      <c r="U31" s="15">
        <f t="shared" si="4"/>
        <v>6620.3501741203681</v>
      </c>
      <c r="V31" s="15">
        <f t="shared" si="5"/>
        <v>4379.0414121565627</v>
      </c>
      <c r="W31" s="16">
        <f t="shared" si="0"/>
        <v>0.11660275165315299</v>
      </c>
      <c r="X31" s="16">
        <f t="shared" si="1"/>
        <v>8.3609041417991539E-2</v>
      </c>
    </row>
    <row r="32" spans="1:24" x14ac:dyDescent="0.25">
      <c r="N32" s="9"/>
      <c r="O32" s="9"/>
      <c r="P32" s="9"/>
      <c r="Q32" s="10"/>
      <c r="R32" s="14">
        <f t="shared" si="2"/>
        <v>12772</v>
      </c>
      <c r="S32" s="14">
        <f t="shared" si="6"/>
        <v>8051.4667663574219</v>
      </c>
      <c r="T32" s="14">
        <f t="shared" si="3"/>
        <v>16813.811340332031</v>
      </c>
      <c r="U32" s="15">
        <f t="shared" si="4"/>
        <v>11908.633109970742</v>
      </c>
      <c r="V32" s="15">
        <f t="shared" si="5"/>
        <v>3662.2511349646575</v>
      </c>
      <c r="W32" s="16">
        <f t="shared" si="0"/>
        <v>0.20996878233210609</v>
      </c>
      <c r="X32" s="16">
        <f t="shared" si="1"/>
        <v>6.9057203694523964E-2</v>
      </c>
    </row>
    <row r="33" spans="14:24" x14ac:dyDescent="0.25">
      <c r="N33" s="9"/>
      <c r="O33" s="9"/>
      <c r="P33" s="9"/>
      <c r="Q33" s="10"/>
      <c r="R33" s="14">
        <f t="shared" si="2"/>
        <v>13245</v>
      </c>
      <c r="S33" s="14">
        <f t="shared" si="6"/>
        <v>8349.6322021484375</v>
      </c>
      <c r="T33" s="14">
        <f t="shared" si="3"/>
        <v>17436.508056640625</v>
      </c>
      <c r="U33" s="15">
        <f t="shared" si="4"/>
        <v>11956.589387085041</v>
      </c>
      <c r="V33" s="15">
        <f t="shared" si="5"/>
        <v>1073.8498514610812</v>
      </c>
      <c r="W33" s="16">
        <f t="shared" si="0"/>
        <v>0.21081546305902943</v>
      </c>
      <c r="X33" s="16">
        <f t="shared" si="1"/>
        <v>1.6509064246651731E-2</v>
      </c>
    </row>
    <row r="34" spans="14:24" x14ac:dyDescent="0.25">
      <c r="N34" s="9"/>
      <c r="O34" s="9"/>
      <c r="P34" s="9"/>
      <c r="Q34" s="10"/>
      <c r="R34" s="14">
        <f t="shared" si="2"/>
        <v>13718</v>
      </c>
      <c r="S34" s="14">
        <f t="shared" si="6"/>
        <v>8647.7976379394531</v>
      </c>
      <c r="T34" s="14">
        <f t="shared" si="3"/>
        <v>18059.204772949219</v>
      </c>
      <c r="U34" s="15">
        <f t="shared" si="4"/>
        <v>6297.277208949894</v>
      </c>
      <c r="V34" s="15">
        <f t="shared" si="5"/>
        <v>-2067.6238411456152</v>
      </c>
      <c r="W34" s="16">
        <f t="shared" si="0"/>
        <v>0.11089881320213736</v>
      </c>
      <c r="X34" s="16">
        <f t="shared" si="1"/>
        <v>-4.7267212918330109E-2</v>
      </c>
    </row>
    <row r="35" spans="14:24" x14ac:dyDescent="0.25">
      <c r="N35" s="9"/>
      <c r="O35" s="9"/>
      <c r="P35" s="9"/>
      <c r="Q35" s="10"/>
      <c r="R35" s="14">
        <f t="shared" si="2"/>
        <v>14191</v>
      </c>
      <c r="S35" s="14">
        <f t="shared" si="6"/>
        <v>8945.9630737304687</v>
      </c>
      <c r="T35" s="14">
        <f t="shared" si="3"/>
        <v>18681.901489257813</v>
      </c>
      <c r="U35" s="15">
        <f t="shared" si="4"/>
        <v>-2815.1258836110133</v>
      </c>
      <c r="V35" s="15">
        <f t="shared" si="5"/>
        <v>-4133.1082998193888</v>
      </c>
      <c r="W35" s="16">
        <f t="shared" si="0"/>
        <v>-4.9983067933864811E-2</v>
      </c>
      <c r="X35" s="16">
        <f t="shared" si="1"/>
        <v>-8.9199414873851357E-2</v>
      </c>
    </row>
    <row r="36" spans="14:24" x14ac:dyDescent="0.25">
      <c r="N36" s="9"/>
      <c r="O36" s="9"/>
      <c r="P36" s="9"/>
      <c r="Q36" s="10"/>
      <c r="R36" s="14">
        <f t="shared" si="2"/>
        <v>14664</v>
      </c>
      <c r="S36" s="14">
        <f t="shared" si="6"/>
        <v>9244.1285095214844</v>
      </c>
      <c r="T36" s="14">
        <f t="shared" si="3"/>
        <v>19304.598205566406</v>
      </c>
      <c r="U36" s="15">
        <f t="shared" si="4"/>
        <v>-11284.954543098575</v>
      </c>
      <c r="V36" s="15">
        <f t="shared" si="5"/>
        <v>-4029.2976168717014</v>
      </c>
      <c r="W36" s="16">
        <f t="shared" si="0"/>
        <v>-0.19952012789452464</v>
      </c>
      <c r="X36" s="16">
        <f t="shared" si="1"/>
        <v>-8.7091913893041245E-2</v>
      </c>
    </row>
    <row r="37" spans="14:24" x14ac:dyDescent="0.25">
      <c r="N37" s="9"/>
      <c r="O37" s="9"/>
      <c r="P37" s="9"/>
      <c r="Q37" s="10"/>
      <c r="R37" s="14">
        <f t="shared" si="2"/>
        <v>15137</v>
      </c>
      <c r="S37" s="14">
        <f t="shared" si="6"/>
        <v>9542.2939453125</v>
      </c>
      <c r="T37" s="14">
        <f t="shared" si="3"/>
        <v>19927.294921875</v>
      </c>
      <c r="U37" s="15">
        <f t="shared" ref="U37:U100" si="7">(R37-S37)*COS(T37)+S37*COS((R37/S37-1)*T37)</f>
        <v>-15017.983290007955</v>
      </c>
      <c r="V37" s="15">
        <f t="shared" ref="V37:V100" si="8">(R37-S37)*SIN(T37)-S37*SIN((R37/S37-1)*T37)</f>
        <v>-1787.0064736718036</v>
      </c>
      <c r="W37" s="16">
        <f t="shared" si="0"/>
        <v>-0.26542773547477388</v>
      </c>
      <c r="X37" s="16">
        <f t="shared" si="1"/>
        <v>-4.1570290786708743E-2</v>
      </c>
    </row>
    <row r="38" spans="14:24" x14ac:dyDescent="0.25">
      <c r="N38" s="9"/>
      <c r="O38" s="9"/>
      <c r="P38" s="9"/>
      <c r="Q38" s="10"/>
      <c r="R38" s="14">
        <f t="shared" si="2"/>
        <v>15610</v>
      </c>
      <c r="S38" s="14">
        <f t="shared" si="6"/>
        <v>9840.4593811035156</v>
      </c>
      <c r="T38" s="14">
        <f t="shared" si="3"/>
        <v>20549.991638183594</v>
      </c>
      <c r="U38" s="15">
        <f t="shared" si="7"/>
        <v>-11897.539248810996</v>
      </c>
      <c r="V38" s="15">
        <f t="shared" si="8"/>
        <v>1426.9255704123943</v>
      </c>
      <c r="W38" s="16">
        <f t="shared" si="0"/>
        <v>-0.2103354725197657</v>
      </c>
      <c r="X38" s="16">
        <f t="shared" si="1"/>
        <v>2.3676991504823219E-2</v>
      </c>
    </row>
    <row r="39" spans="14:24" x14ac:dyDescent="0.25">
      <c r="N39" s="9"/>
      <c r="O39" s="9"/>
      <c r="P39" s="9"/>
      <c r="Q39" s="10"/>
      <c r="R39" s="14">
        <f t="shared" si="2"/>
        <v>16083</v>
      </c>
      <c r="S39" s="14">
        <f t="shared" si="6"/>
        <v>10138.624816894531</v>
      </c>
      <c r="T39" s="14">
        <f t="shared" si="3"/>
        <v>21172.688354492188</v>
      </c>
      <c r="U39" s="15">
        <f t="shared" si="7"/>
        <v>-2940.9790877380215</v>
      </c>
      <c r="V39" s="15">
        <f t="shared" si="8"/>
        <v>3899.6786187118287</v>
      </c>
      <c r="W39" s="16">
        <f t="shared" si="0"/>
        <v>-5.2205039462261724E-2</v>
      </c>
      <c r="X39" s="16">
        <f t="shared" si="1"/>
        <v>7.3877311227393119E-2</v>
      </c>
    </row>
    <row r="40" spans="14:24" x14ac:dyDescent="0.25">
      <c r="N40" s="9"/>
      <c r="O40" s="9"/>
      <c r="P40" s="9"/>
      <c r="Q40" s="10"/>
      <c r="R40" s="14">
        <f t="shared" si="2"/>
        <v>16556</v>
      </c>
      <c r="S40" s="14">
        <f t="shared" si="6"/>
        <v>10436.790252685547</v>
      </c>
      <c r="T40" s="14">
        <f t="shared" si="3"/>
        <v>21795.385070800781</v>
      </c>
      <c r="U40" s="15">
        <f t="shared" si="7"/>
        <v>7979.8670354656815</v>
      </c>
      <c r="V40" s="15">
        <f t="shared" si="8"/>
        <v>4272.4088051159688</v>
      </c>
      <c r="W40" s="16">
        <f t="shared" si="0"/>
        <v>0.14060538058293612</v>
      </c>
      <c r="X40" s="16">
        <f t="shared" si="1"/>
        <v>8.1444251460510611E-2</v>
      </c>
    </row>
    <row r="41" spans="14:24" x14ac:dyDescent="0.25">
      <c r="N41" s="9"/>
      <c r="O41" s="9"/>
      <c r="P41" s="9"/>
      <c r="Q41" s="10"/>
      <c r="R41" s="14">
        <f t="shared" si="2"/>
        <v>17029</v>
      </c>
      <c r="S41" s="14">
        <f t="shared" si="6"/>
        <v>10734.955688476563</v>
      </c>
      <c r="T41" s="14">
        <f t="shared" si="3"/>
        <v>22418.081787109375</v>
      </c>
      <c r="U41" s="15">
        <f t="shared" si="7"/>
        <v>15811.406359519608</v>
      </c>
      <c r="V41" s="15">
        <f t="shared" si="8"/>
        <v>2282.6721638977156</v>
      </c>
      <c r="W41" s="16">
        <f t="shared" si="0"/>
        <v>0.27887327389781352</v>
      </c>
      <c r="X41" s="16">
        <f t="shared" si="1"/>
        <v>4.104983535755119E-2</v>
      </c>
    </row>
    <row r="42" spans="14:24" x14ac:dyDescent="0.25">
      <c r="N42" s="9"/>
      <c r="O42" s="9"/>
      <c r="P42" s="9"/>
      <c r="Q42" s="10"/>
      <c r="R42" s="14">
        <f t="shared" si="2"/>
        <v>17502</v>
      </c>
      <c r="S42" s="14">
        <f t="shared" si="6"/>
        <v>11033.121124267578</v>
      </c>
      <c r="T42" s="14">
        <f t="shared" si="3"/>
        <v>23040.778503417969</v>
      </c>
      <c r="U42" s="15">
        <f t="shared" si="7"/>
        <v>16662.379174679692</v>
      </c>
      <c r="V42" s="15">
        <f t="shared" si="8"/>
        <v>-1053.0393453097513</v>
      </c>
      <c r="W42" s="16">
        <f t="shared" si="0"/>
        <v>0.29389742350005399</v>
      </c>
      <c r="X42" s="16">
        <f t="shared" si="1"/>
        <v>-2.6669739138427129E-2</v>
      </c>
    </row>
    <row r="43" spans="14:24" x14ac:dyDescent="0.25">
      <c r="N43" s="9"/>
      <c r="O43" s="9"/>
      <c r="P43" s="9"/>
      <c r="Q43" s="10"/>
      <c r="R43" s="14">
        <f t="shared" si="2"/>
        <v>17975</v>
      </c>
      <c r="S43" s="14">
        <f t="shared" si="6"/>
        <v>11331.286560058594</v>
      </c>
      <c r="T43" s="14">
        <f t="shared" si="3"/>
        <v>23663.475219726563</v>
      </c>
      <c r="U43" s="15">
        <f t="shared" si="7"/>
        <v>9729.5258870900252</v>
      </c>
      <c r="V43" s="15">
        <f t="shared" si="8"/>
        <v>-3937.7930883280014</v>
      </c>
      <c r="W43" s="16">
        <f t="shared" si="0"/>
        <v>0.17149606929987626</v>
      </c>
      <c r="X43" s="16">
        <f t="shared" si="1"/>
        <v>-8.5234244930863304E-2</v>
      </c>
    </row>
    <row r="44" spans="14:24" x14ac:dyDescent="0.25">
      <c r="N44" s="9"/>
      <c r="O44" s="9"/>
      <c r="P44" s="9"/>
      <c r="Q44" s="10"/>
      <c r="R44" s="14">
        <f t="shared" si="2"/>
        <v>18448</v>
      </c>
      <c r="S44" s="14">
        <f t="shared" si="6"/>
        <v>11629.451995849609</v>
      </c>
      <c r="T44" s="14">
        <f t="shared" si="3"/>
        <v>24286.171936035156</v>
      </c>
      <c r="U44" s="15">
        <f t="shared" si="7"/>
        <v>-2145.2272275917685</v>
      </c>
      <c r="V44" s="15">
        <f t="shared" si="8"/>
        <v>-4736.9889819461405</v>
      </c>
      <c r="W44" s="16">
        <f t="shared" si="0"/>
        <v>-3.8155830392228876E-2</v>
      </c>
      <c r="X44" s="16">
        <f t="shared" si="1"/>
        <v>-0.1014590310688025</v>
      </c>
    </row>
    <row r="45" spans="14:24" x14ac:dyDescent="0.25">
      <c r="N45" s="10"/>
      <c r="O45" s="10"/>
      <c r="P45" s="10"/>
      <c r="Q45" s="10"/>
      <c r="R45" s="14">
        <f t="shared" si="2"/>
        <v>18921</v>
      </c>
      <c r="S45" s="14">
        <f t="shared" si="6"/>
        <v>11927.617431640625</v>
      </c>
      <c r="T45" s="14">
        <f t="shared" si="3"/>
        <v>24908.86865234375</v>
      </c>
      <c r="U45" s="15">
        <f t="shared" si="7"/>
        <v>-13628.716431534627</v>
      </c>
      <c r="V45" s="15">
        <f t="shared" si="8"/>
        <v>-2880.1441665430439</v>
      </c>
      <c r="W45" s="16">
        <f t="shared" si="0"/>
        <v>-0.2408998624954104</v>
      </c>
      <c r="X45" s="16">
        <f t="shared" si="1"/>
        <v>-6.3762503519261243E-2</v>
      </c>
    </row>
    <row r="46" spans="14:24" x14ac:dyDescent="0.25">
      <c r="N46" s="10"/>
      <c r="O46" s="10"/>
      <c r="P46" s="10"/>
      <c r="Q46" s="10"/>
      <c r="R46" s="14">
        <f t="shared" si="2"/>
        <v>19394</v>
      </c>
      <c r="S46" s="14">
        <f t="shared" si="6"/>
        <v>12225.782867431641</v>
      </c>
      <c r="T46" s="14">
        <f t="shared" si="3"/>
        <v>25531.565368652344</v>
      </c>
      <c r="U46" s="15">
        <f t="shared" si="7"/>
        <v>-19299.182080086146</v>
      </c>
      <c r="V46" s="15">
        <f t="shared" si="8"/>
        <v>765.88362846317</v>
      </c>
      <c r="W46" s="16">
        <f t="shared" si="0"/>
        <v>-0.34101342981562732</v>
      </c>
      <c r="X46" s="16">
        <f t="shared" si="1"/>
        <v>1.0256922380370511E-2</v>
      </c>
    </row>
    <row r="47" spans="14:24" x14ac:dyDescent="0.25">
      <c r="N47" s="10"/>
      <c r="O47" s="10"/>
      <c r="P47" s="10"/>
      <c r="Q47" s="10"/>
      <c r="R47" s="14">
        <f t="shared" si="2"/>
        <v>19867</v>
      </c>
      <c r="S47" s="14">
        <f t="shared" si="6"/>
        <v>12523.948303222656</v>
      </c>
      <c r="T47" s="14">
        <f t="shared" si="3"/>
        <v>26154.262084960938</v>
      </c>
      <c r="U47" s="15">
        <f t="shared" si="7"/>
        <v>-16212.005258848865</v>
      </c>
      <c r="V47" s="15">
        <f t="shared" si="8"/>
        <v>4282.6116948593854</v>
      </c>
      <c r="W47" s="16">
        <f t="shared" si="0"/>
        <v>-0.28650850840740028</v>
      </c>
      <c r="X47" s="16">
        <f t="shared" si="1"/>
        <v>8.1651384286639719E-2</v>
      </c>
    </row>
    <row r="48" spans="14:24" x14ac:dyDescent="0.25">
      <c r="N48" s="10"/>
      <c r="O48" s="10"/>
      <c r="P48" s="10"/>
      <c r="Q48" s="10"/>
      <c r="R48" s="14">
        <f t="shared" si="2"/>
        <v>20340</v>
      </c>
      <c r="S48" s="14">
        <f t="shared" si="6"/>
        <v>12822.113739013672</v>
      </c>
      <c r="T48" s="14">
        <f t="shared" si="3"/>
        <v>26776.958801269531</v>
      </c>
      <c r="U48" s="15">
        <f t="shared" si="7"/>
        <v>-5411.6556353372016</v>
      </c>
      <c r="V48" s="15">
        <f t="shared" si="8"/>
        <v>5681.3562446160649</v>
      </c>
      <c r="W48" s="16">
        <f t="shared" si="0"/>
        <v>-9.5825485860298723E-2</v>
      </c>
      <c r="X48" s="16">
        <f t="shared" si="1"/>
        <v>0.11004784047795953</v>
      </c>
    </row>
    <row r="49" spans="14:24" x14ac:dyDescent="0.25">
      <c r="N49" s="10"/>
      <c r="O49" s="10"/>
      <c r="P49" s="10"/>
      <c r="Q49" s="10"/>
      <c r="R49" s="14">
        <f t="shared" si="2"/>
        <v>20813</v>
      </c>
      <c r="S49" s="14">
        <f t="shared" si="6"/>
        <v>13120.279174804688</v>
      </c>
      <c r="T49" s="14">
        <f t="shared" si="3"/>
        <v>27399.655517578125</v>
      </c>
      <c r="U49" s="15">
        <f t="shared" si="7"/>
        <v>8379.9519440047152</v>
      </c>
      <c r="V49" s="15">
        <f t="shared" si="8"/>
        <v>3988.4960142433383</v>
      </c>
      <c r="W49" s="16">
        <f t="shared" si="0"/>
        <v>0.14766898521566268</v>
      </c>
      <c r="X49" s="16">
        <f t="shared" si="1"/>
        <v>7.5680427658964822E-2</v>
      </c>
    </row>
    <row r="50" spans="14:24" x14ac:dyDescent="0.25">
      <c r="N50" s="10"/>
      <c r="O50" s="10"/>
      <c r="P50" s="10"/>
      <c r="Q50" s="10"/>
      <c r="R50" s="14">
        <f t="shared" si="2"/>
        <v>21286</v>
      </c>
      <c r="S50" s="14">
        <f t="shared" si="6"/>
        <v>13418.444610595703</v>
      </c>
      <c r="T50" s="14">
        <f t="shared" si="3"/>
        <v>28022.352233886719</v>
      </c>
      <c r="U50" s="15">
        <f t="shared" si="7"/>
        <v>18831.986911703505</v>
      </c>
      <c r="V50" s="15">
        <f t="shared" si="8"/>
        <v>-143.23248289523508</v>
      </c>
      <c r="W50" s="16">
        <f t="shared" si="0"/>
        <v>0.33220242060280181</v>
      </c>
      <c r="X50" s="16">
        <f t="shared" si="1"/>
        <v>-8.1993967763352438E-3</v>
      </c>
    </row>
    <row r="51" spans="14:24" x14ac:dyDescent="0.25">
      <c r="N51" s="10"/>
      <c r="O51" s="10"/>
      <c r="P51" s="10"/>
      <c r="Q51" s="10"/>
      <c r="R51" s="14">
        <f t="shared" si="2"/>
        <v>21759</v>
      </c>
      <c r="S51" s="14">
        <f t="shared" si="6"/>
        <v>13716.610046386719</v>
      </c>
      <c r="T51" s="14">
        <f t="shared" si="3"/>
        <v>28645.048950195313</v>
      </c>
      <c r="U51" s="15">
        <f t="shared" si="7"/>
        <v>20922.439972173379</v>
      </c>
      <c r="V51" s="15">
        <f t="shared" si="8"/>
        <v>-4659.0200053402923</v>
      </c>
      <c r="W51" s="16">
        <f t="shared" si="0"/>
        <v>0.36910992100403672</v>
      </c>
      <c r="X51" s="16">
        <f t="shared" si="1"/>
        <v>-9.9876152601926491E-2</v>
      </c>
    </row>
    <row r="52" spans="14:24" x14ac:dyDescent="0.25">
      <c r="N52" s="10"/>
      <c r="O52" s="10"/>
      <c r="P52" s="10"/>
      <c r="Q52" s="10"/>
      <c r="R52" s="14">
        <f t="shared" si="2"/>
        <v>22232</v>
      </c>
      <c r="S52" s="14">
        <f t="shared" si="6"/>
        <v>14014.775482177734</v>
      </c>
      <c r="T52" s="14">
        <f t="shared" si="3"/>
        <v>29267.745666503906</v>
      </c>
      <c r="U52" s="15">
        <f t="shared" si="7"/>
        <v>13355.234297318479</v>
      </c>
      <c r="V52" s="15">
        <f t="shared" si="8"/>
        <v>-7101.5347336497225</v>
      </c>
      <c r="W52" s="16">
        <f t="shared" si="0"/>
        <v>0.23550890801685256</v>
      </c>
      <c r="X52" s="16">
        <f t="shared" si="1"/>
        <v>-0.14946259244982976</v>
      </c>
    </row>
    <row r="53" spans="14:24" x14ac:dyDescent="0.25">
      <c r="N53" s="10"/>
      <c r="O53" s="10"/>
      <c r="P53" s="10"/>
      <c r="Q53" s="10"/>
      <c r="R53" s="14">
        <f t="shared" si="2"/>
        <v>22705</v>
      </c>
      <c r="S53" s="14">
        <f t="shared" si="6"/>
        <v>14312.94091796875</v>
      </c>
      <c r="T53" s="14">
        <f t="shared" si="3"/>
        <v>29890.4423828125</v>
      </c>
      <c r="U53" s="15">
        <f t="shared" si="7"/>
        <v>-688.57080702999701</v>
      </c>
      <c r="V53" s="15">
        <f t="shared" si="8"/>
        <v>-5908.0304207493637</v>
      </c>
      <c r="W53" s="16">
        <f t="shared" si="0"/>
        <v>-1.243817691176231E-2</v>
      </c>
      <c r="X53" s="16">
        <f t="shared" si="1"/>
        <v>-0.1252327979949939</v>
      </c>
    </row>
    <row r="54" spans="14:24" x14ac:dyDescent="0.25">
      <c r="N54" s="10"/>
      <c r="O54" s="10"/>
      <c r="P54" s="10"/>
      <c r="Q54" s="10"/>
      <c r="R54" s="14">
        <f t="shared" si="2"/>
        <v>23178</v>
      </c>
      <c r="S54" s="14">
        <f t="shared" si="6"/>
        <v>14611.106353759766</v>
      </c>
      <c r="T54" s="14">
        <f t="shared" si="3"/>
        <v>30513.139099121094</v>
      </c>
      <c r="U54" s="15">
        <f t="shared" si="7"/>
        <v>-14883.560250897805</v>
      </c>
      <c r="V54" s="15">
        <f t="shared" si="8"/>
        <v>-1334.8628077420517</v>
      </c>
      <c r="W54" s="16">
        <f t="shared" si="0"/>
        <v>-0.263054461248383</v>
      </c>
      <c r="X54" s="16">
        <f t="shared" si="1"/>
        <v>-3.239114667208795E-2</v>
      </c>
    </row>
    <row r="55" spans="14:24" x14ac:dyDescent="0.25">
      <c r="N55" s="10"/>
      <c r="O55" s="10"/>
      <c r="P55" s="10"/>
      <c r="Q55" s="10"/>
      <c r="R55" s="14">
        <f t="shared" si="2"/>
        <v>23651</v>
      </c>
      <c r="S55" s="14">
        <f t="shared" si="6"/>
        <v>14909.271789550781</v>
      </c>
      <c r="T55" s="14">
        <f t="shared" si="3"/>
        <v>31135.835815429688</v>
      </c>
      <c r="U55" s="15">
        <f t="shared" si="7"/>
        <v>-22621.066992349985</v>
      </c>
      <c r="V55" s="15">
        <f t="shared" si="8"/>
        <v>4512.3758342987439</v>
      </c>
      <c r="W55" s="16">
        <f t="shared" si="0"/>
        <v>-0.3996621845045637</v>
      </c>
      <c r="X55" s="16">
        <f t="shared" si="1"/>
        <v>8.6315915291290304E-2</v>
      </c>
    </row>
    <row r="56" spans="14:24" x14ac:dyDescent="0.25">
      <c r="N56" s="10"/>
      <c r="O56" s="10"/>
      <c r="P56" s="10"/>
      <c r="Q56" s="10"/>
      <c r="R56" s="14">
        <f t="shared" si="2"/>
        <v>24124</v>
      </c>
      <c r="S56" s="14">
        <f t="shared" si="6"/>
        <v>15207.437225341797</v>
      </c>
      <c r="T56" s="14">
        <f t="shared" si="3"/>
        <v>31758.532531738281</v>
      </c>
      <c r="U56" s="15">
        <f t="shared" si="7"/>
        <v>-20099.257317931944</v>
      </c>
      <c r="V56" s="15">
        <f t="shared" si="8"/>
        <v>8631.1204982727922</v>
      </c>
      <c r="W56" s="16">
        <f t="shared" si="0"/>
        <v>-0.35513896925977761</v>
      </c>
      <c r="X56" s="16">
        <f t="shared" si="1"/>
        <v>0.16993214988832006</v>
      </c>
    </row>
    <row r="57" spans="14:24" x14ac:dyDescent="0.25">
      <c r="N57" s="10"/>
      <c r="O57" s="10"/>
      <c r="P57" s="10"/>
      <c r="Q57" s="10"/>
      <c r="R57" s="14">
        <f t="shared" si="2"/>
        <v>24597</v>
      </c>
      <c r="S57" s="14">
        <f t="shared" si="6"/>
        <v>15505.602661132813</v>
      </c>
      <c r="T57" s="14">
        <f t="shared" si="3"/>
        <v>32381.229248046875</v>
      </c>
      <c r="U57" s="15">
        <f t="shared" si="7"/>
        <v>-8191.4896266914166</v>
      </c>
      <c r="V57" s="15">
        <f t="shared" si="8"/>
        <v>8633.3945404214173</v>
      </c>
      <c r="W57" s="16">
        <f t="shared" si="0"/>
        <v>-0.14490418850680128</v>
      </c>
      <c r="X57" s="16">
        <f t="shared" si="1"/>
        <v>0.16997831610091541</v>
      </c>
    </row>
    <row r="58" spans="14:24" x14ac:dyDescent="0.25">
      <c r="N58" s="10"/>
      <c r="O58" s="10"/>
      <c r="P58" s="10"/>
      <c r="Q58" s="10"/>
      <c r="R58" s="14">
        <f t="shared" si="2"/>
        <v>25070</v>
      </c>
      <c r="S58" s="14">
        <f t="shared" si="6"/>
        <v>15803.768096923828</v>
      </c>
      <c r="T58" s="14">
        <f t="shared" si="3"/>
        <v>33003.925964355469</v>
      </c>
      <c r="U58" s="15">
        <f t="shared" si="7"/>
        <v>7825.5144533771017</v>
      </c>
      <c r="V58" s="15">
        <f t="shared" si="8"/>
        <v>4066.9640970250275</v>
      </c>
      <c r="W58" s="16">
        <f t="shared" si="0"/>
        <v>0.13788024501634968</v>
      </c>
      <c r="X58" s="16">
        <f t="shared" si="1"/>
        <v>7.7273438674103148E-2</v>
      </c>
    </row>
    <row r="59" spans="14:24" x14ac:dyDescent="0.25">
      <c r="N59" s="10"/>
      <c r="O59" s="10"/>
      <c r="P59" s="10"/>
      <c r="Q59" s="10"/>
      <c r="R59" s="14">
        <f t="shared" si="2"/>
        <v>25543</v>
      </c>
      <c r="S59" s="14">
        <f t="shared" si="6"/>
        <v>16101.933532714844</v>
      </c>
      <c r="T59" s="14">
        <f t="shared" si="3"/>
        <v>33626.622680664063</v>
      </c>
      <c r="U59" s="15">
        <f t="shared" si="7"/>
        <v>20618.230962349251</v>
      </c>
      <c r="V59" s="15">
        <f t="shared" si="8"/>
        <v>-3162.6523061605521</v>
      </c>
      <c r="W59" s="16">
        <f t="shared" si="0"/>
        <v>0.36373903066239011</v>
      </c>
      <c r="X59" s="16">
        <f t="shared" si="1"/>
        <v>-6.9497810950296696E-2</v>
      </c>
    </row>
    <row r="60" spans="14:24" x14ac:dyDescent="0.25">
      <c r="N60" s="10"/>
      <c r="O60" s="10"/>
      <c r="P60" s="10"/>
      <c r="Q60" s="10"/>
      <c r="R60" s="14">
        <f t="shared" si="2"/>
        <v>26016</v>
      </c>
      <c r="S60" s="14">
        <f t="shared" si="6"/>
        <v>16400.098968505859</v>
      </c>
      <c r="T60" s="14">
        <f t="shared" si="3"/>
        <v>34249.319396972656</v>
      </c>
      <c r="U60" s="15">
        <f t="shared" si="7"/>
        <v>24170.727211295518</v>
      </c>
      <c r="V60" s="15">
        <f t="shared" si="8"/>
        <v>-9565.03609566864</v>
      </c>
      <c r="W60" s="16">
        <f t="shared" si="0"/>
        <v>0.42645928935305849</v>
      </c>
      <c r="X60" s="16">
        <f t="shared" si="1"/>
        <v>-0.19947509009709205</v>
      </c>
    </row>
    <row r="61" spans="14:24" x14ac:dyDescent="0.25">
      <c r="N61" s="10"/>
      <c r="O61" s="10"/>
      <c r="P61" s="10"/>
      <c r="Q61" s="10"/>
      <c r="R61" s="14">
        <f t="shared" si="2"/>
        <v>26489</v>
      </c>
      <c r="S61" s="14">
        <f t="shared" si="6"/>
        <v>16698.264404296875</v>
      </c>
      <c r="T61" s="14">
        <f t="shared" si="3"/>
        <v>34872.01611328125</v>
      </c>
      <c r="U61" s="15">
        <f t="shared" si="7"/>
        <v>16626.97275093212</v>
      </c>
      <c r="V61" s="15">
        <f t="shared" si="8"/>
        <v>-11730.962058636069</v>
      </c>
      <c r="W61" s="16">
        <f t="shared" si="0"/>
        <v>0.29327231374591484</v>
      </c>
      <c r="X61" s="16">
        <f t="shared" si="1"/>
        <v>-0.24344639402942614</v>
      </c>
    </row>
    <row r="62" spans="14:24" x14ac:dyDescent="0.25">
      <c r="N62" s="10"/>
      <c r="O62" s="10"/>
      <c r="P62" s="10"/>
      <c r="Q62" s="10"/>
      <c r="R62" s="14">
        <f t="shared" si="2"/>
        <v>26962</v>
      </c>
      <c r="S62" s="14">
        <f t="shared" si="6"/>
        <v>16996.429840087891</v>
      </c>
      <c r="T62" s="14">
        <f t="shared" si="3"/>
        <v>35494.712829589844</v>
      </c>
      <c r="U62" s="15">
        <f t="shared" si="7"/>
        <v>1252.3853804359633</v>
      </c>
      <c r="V62" s="15">
        <f t="shared" si="8"/>
        <v>-8103.9577086847348</v>
      </c>
      <c r="W62" s="16">
        <f t="shared" si="0"/>
        <v>2.1829916748077004E-2</v>
      </c>
      <c r="X62" s="16">
        <f t="shared" si="1"/>
        <v>-0.16981317047403433</v>
      </c>
    </row>
    <row r="63" spans="14:24" x14ac:dyDescent="0.25">
      <c r="N63" s="10"/>
      <c r="O63" s="10"/>
      <c r="P63" s="10"/>
      <c r="Q63" s="10"/>
      <c r="R63" s="14">
        <f t="shared" si="2"/>
        <v>27435</v>
      </c>
      <c r="S63" s="14">
        <f t="shared" si="6"/>
        <v>17294.595275878906</v>
      </c>
      <c r="T63" s="14">
        <f t="shared" si="3"/>
        <v>36117.409545898438</v>
      </c>
      <c r="U63" s="15">
        <f t="shared" si="7"/>
        <v>-14980.371778566825</v>
      </c>
      <c r="V63" s="15">
        <f t="shared" si="8"/>
        <v>47.131465853110058</v>
      </c>
      <c r="W63" s="16">
        <f t="shared" si="0"/>
        <v>-0.26476369431553709</v>
      </c>
      <c r="X63" s="16">
        <f t="shared" si="1"/>
        <v>-4.334744340706893E-3</v>
      </c>
    </row>
    <row r="64" spans="14:24" x14ac:dyDescent="0.25">
      <c r="N64" s="10"/>
      <c r="O64" s="10"/>
      <c r="P64" s="10"/>
      <c r="Q64" s="10"/>
      <c r="R64" s="14">
        <f t="shared" si="2"/>
        <v>27908</v>
      </c>
      <c r="S64" s="14">
        <f t="shared" si="6"/>
        <v>17592.760711669922</v>
      </c>
      <c r="T64" s="14">
        <f t="shared" si="3"/>
        <v>36740.106262207031</v>
      </c>
      <c r="U64" s="15">
        <f t="shared" si="7"/>
        <v>-24569.075287659438</v>
      </c>
      <c r="V64" s="15">
        <f t="shared" si="8"/>
        <v>9020.0121173640691</v>
      </c>
      <c r="W64" s="16">
        <f t="shared" si="0"/>
        <v>-0.43405478498925598</v>
      </c>
      <c r="X64" s="16">
        <f t="shared" si="1"/>
        <v>0.17782718964137426</v>
      </c>
    </row>
    <row r="65" spans="14:24" x14ac:dyDescent="0.25">
      <c r="N65" s="10"/>
      <c r="O65" s="10"/>
      <c r="P65" s="10"/>
      <c r="Q65" s="10"/>
      <c r="R65" s="14">
        <f t="shared" si="2"/>
        <v>28381</v>
      </c>
      <c r="S65" s="14">
        <f t="shared" si="6"/>
        <v>17890.926147460938</v>
      </c>
      <c r="T65" s="14">
        <f t="shared" si="3"/>
        <v>37362.802978515625</v>
      </c>
      <c r="U65" s="15">
        <f t="shared" si="7"/>
        <v>-22968.32069641292</v>
      </c>
      <c r="V65" s="15">
        <f t="shared" si="8"/>
        <v>14347.01276514555</v>
      </c>
      <c r="W65" s="16">
        <f t="shared" si="0"/>
        <v>-0.40579304028142216</v>
      </c>
      <c r="X65" s="16">
        <f t="shared" si="1"/>
        <v>0.28597269809191517</v>
      </c>
    </row>
    <row r="66" spans="14:24" x14ac:dyDescent="0.25">
      <c r="N66" s="10"/>
      <c r="O66" s="10"/>
      <c r="P66" s="10"/>
      <c r="Q66" s="10"/>
      <c r="R66" s="14">
        <f t="shared" si="2"/>
        <v>28854</v>
      </c>
      <c r="S66" s="14">
        <f t="shared" si="6"/>
        <v>18189.091583251953</v>
      </c>
      <c r="T66" s="14">
        <f t="shared" si="3"/>
        <v>37985.499694824219</v>
      </c>
      <c r="U66" s="15">
        <f t="shared" si="7"/>
        <v>-10756.115422108367</v>
      </c>
      <c r="V66" s="15">
        <f t="shared" si="8"/>
        <v>12993.882850323105</v>
      </c>
      <c r="W66" s="16">
        <f t="shared" si="0"/>
        <v>-0.19018333366593396</v>
      </c>
      <c r="X66" s="16">
        <f t="shared" si="1"/>
        <v>0.25850228231506445</v>
      </c>
    </row>
    <row r="67" spans="14:24" x14ac:dyDescent="0.25">
      <c r="N67" s="10"/>
      <c r="O67" s="10"/>
      <c r="P67" s="10"/>
      <c r="Q67" s="10"/>
      <c r="R67" s="14">
        <f t="shared" si="2"/>
        <v>29327</v>
      </c>
      <c r="S67" s="14">
        <f t="shared" si="6"/>
        <v>18487.257019042969</v>
      </c>
      <c r="T67" s="14">
        <f t="shared" si="3"/>
        <v>38608.196411132813</v>
      </c>
      <c r="U67" s="15">
        <f t="shared" si="7"/>
        <v>6557.235779194024</v>
      </c>
      <c r="V67" s="15">
        <f t="shared" si="8"/>
        <v>5016.9746031345985</v>
      </c>
      <c r="W67" s="16">
        <f t="shared" si="0"/>
        <v>0.11548845035640723</v>
      </c>
      <c r="X67" s="16">
        <f t="shared" si="1"/>
        <v>9.6559970816606805E-2</v>
      </c>
    </row>
    <row r="68" spans="14:24" x14ac:dyDescent="0.25">
      <c r="N68" s="10"/>
      <c r="O68" s="10"/>
      <c r="P68" s="10"/>
      <c r="Q68" s="10"/>
      <c r="R68" s="14">
        <f t="shared" si="2"/>
        <v>29800</v>
      </c>
      <c r="S68" s="14">
        <f t="shared" si="6"/>
        <v>18785.422454833984</v>
      </c>
      <c r="T68" s="14">
        <f t="shared" si="3"/>
        <v>39230.893127441406</v>
      </c>
      <c r="U68" s="15">
        <f t="shared" si="7"/>
        <v>21025.844819699218</v>
      </c>
      <c r="V68" s="15">
        <f t="shared" si="8"/>
        <v>-6201.2229476639977</v>
      </c>
      <c r="W68" s="16">
        <f t="shared" si="0"/>
        <v>0.37093556087307628</v>
      </c>
      <c r="X68" s="16">
        <f t="shared" si="1"/>
        <v>-0.13118501332094606</v>
      </c>
    </row>
    <row r="69" spans="14:24" x14ac:dyDescent="0.25">
      <c r="N69" s="10"/>
      <c r="O69" s="10"/>
      <c r="P69" s="10"/>
      <c r="Q69" s="10"/>
      <c r="R69" s="14">
        <f t="shared" si="2"/>
        <v>30273</v>
      </c>
      <c r="S69" s="14">
        <f t="shared" si="6"/>
        <v>19083.587890625</v>
      </c>
      <c r="T69" s="14">
        <f t="shared" si="3"/>
        <v>39853.58984375</v>
      </c>
      <c r="U69" s="15">
        <f t="shared" si="7"/>
        <v>25935.043993905911</v>
      </c>
      <c r="V69" s="15">
        <f t="shared" si="8"/>
        <v>-15367.785943529012</v>
      </c>
      <c r="W69" s="16">
        <f t="shared" ref="W69:W132" si="9">(U69-$W$1)/$W$2</f>
        <v>0.45760876770942127</v>
      </c>
      <c r="X69" s="16">
        <f t="shared" ref="X69:X132" si="10">(V69-$X$1)/$X$2</f>
        <v>-0.31727896777627146</v>
      </c>
    </row>
    <row r="70" spans="14:24" x14ac:dyDescent="0.25">
      <c r="N70" s="10"/>
      <c r="O70" s="10"/>
      <c r="P70" s="10"/>
      <c r="Q70" s="10"/>
      <c r="R70" s="14">
        <f t="shared" ref="R70:R133" si="11">R69+a_inc</f>
        <v>30746</v>
      </c>
      <c r="S70" s="14">
        <f t="shared" si="6"/>
        <v>19381.753326416016</v>
      </c>
      <c r="T70" s="14">
        <f t="shared" ref="T70:T133" si="12">T69+t_inc</f>
        <v>40476.286560058594</v>
      </c>
      <c r="U70" s="15">
        <f t="shared" si="7"/>
        <v>18937.517599194307</v>
      </c>
      <c r="V70" s="15">
        <f t="shared" si="8"/>
        <v>-17763.390526048785</v>
      </c>
      <c r="W70" s="16">
        <f t="shared" si="9"/>
        <v>0.33406559273737912</v>
      </c>
      <c r="X70" s="16">
        <f t="shared" si="10"/>
        <v>-0.36591306654082523</v>
      </c>
    </row>
    <row r="71" spans="14:24" x14ac:dyDescent="0.25">
      <c r="N71" s="10"/>
      <c r="O71" s="10"/>
      <c r="P71" s="10"/>
      <c r="Q71" s="10"/>
      <c r="R71" s="14">
        <f t="shared" si="11"/>
        <v>31219</v>
      </c>
      <c r="S71" s="14">
        <f t="shared" ref="S71:S134" si="13">S70+b_inc</f>
        <v>19679.918762207031</v>
      </c>
      <c r="T71" s="14">
        <f t="shared" si="12"/>
        <v>41098.983276367188</v>
      </c>
      <c r="U71" s="15">
        <f t="shared" si="7"/>
        <v>3185.2955040253401</v>
      </c>
      <c r="V71" s="15">
        <f t="shared" si="8"/>
        <v>-11634.225043494383</v>
      </c>
      <c r="W71" s="16">
        <f t="shared" si="9"/>
        <v>5.5955955027018833E-2</v>
      </c>
      <c r="X71" s="16">
        <f t="shared" si="10"/>
        <v>-0.24148249832521929</v>
      </c>
    </row>
    <row r="72" spans="14:24" x14ac:dyDescent="0.25">
      <c r="N72" s="10"/>
      <c r="O72" s="10"/>
      <c r="P72" s="10"/>
      <c r="Q72" s="10"/>
      <c r="R72" s="14">
        <f t="shared" si="11"/>
        <v>31692</v>
      </c>
      <c r="S72" s="14">
        <f t="shared" si="13"/>
        <v>19978.084197998047</v>
      </c>
      <c r="T72" s="14">
        <f t="shared" si="12"/>
        <v>41721.679992675781</v>
      </c>
      <c r="U72" s="15">
        <f t="shared" si="7"/>
        <v>-14092.50507309254</v>
      </c>
      <c r="V72" s="15">
        <f t="shared" si="8"/>
        <v>706.2739706194352</v>
      </c>
      <c r="W72" s="16">
        <f t="shared" si="9"/>
        <v>-0.24908817334441813</v>
      </c>
      <c r="X72" s="16">
        <f t="shared" si="10"/>
        <v>9.0467635720065144E-3</v>
      </c>
    </row>
    <row r="73" spans="14:24" x14ac:dyDescent="0.25">
      <c r="N73" s="9"/>
      <c r="O73" s="9"/>
      <c r="P73" s="9"/>
      <c r="Q73" s="10"/>
      <c r="R73" s="14">
        <f t="shared" si="11"/>
        <v>32165</v>
      </c>
      <c r="S73" s="14">
        <f t="shared" si="13"/>
        <v>20276.249633789063</v>
      </c>
      <c r="T73" s="14">
        <f t="shared" si="12"/>
        <v>42344.376708984375</v>
      </c>
      <c r="U73" s="15">
        <f t="shared" si="7"/>
        <v>-24923.814671622615</v>
      </c>
      <c r="V73" s="15">
        <f t="shared" si="8"/>
        <v>13706.88830817567</v>
      </c>
      <c r="W73" s="16">
        <f t="shared" si="9"/>
        <v>-0.44031780242003815</v>
      </c>
      <c r="X73" s="16">
        <f t="shared" si="10"/>
        <v>0.27297728295160267</v>
      </c>
    </row>
    <row r="74" spans="14:24" x14ac:dyDescent="0.25">
      <c r="N74" s="9"/>
      <c r="O74" s="9"/>
      <c r="P74" s="9"/>
      <c r="Q74" s="10"/>
      <c r="R74" s="14">
        <f t="shared" si="11"/>
        <v>32638</v>
      </c>
      <c r="S74" s="14">
        <f t="shared" si="13"/>
        <v>20574.415069580078</v>
      </c>
      <c r="T74" s="14">
        <f t="shared" si="12"/>
        <v>42967.073425292969</v>
      </c>
      <c r="U74" s="15">
        <f t="shared" si="7"/>
        <v>-24294.965541027759</v>
      </c>
      <c r="V74" s="15">
        <f t="shared" si="8"/>
        <v>21067.008738094672</v>
      </c>
      <c r="W74" s="16">
        <f t="shared" si="9"/>
        <v>-0.42921530508172001</v>
      </c>
      <c r="X74" s="16">
        <f t="shared" si="10"/>
        <v>0.42239794549315818</v>
      </c>
    </row>
    <row r="75" spans="14:24" x14ac:dyDescent="0.25">
      <c r="N75" s="9"/>
      <c r="O75" s="9"/>
      <c r="P75" s="9"/>
      <c r="Q75" s="10"/>
      <c r="R75" s="14">
        <f t="shared" si="11"/>
        <v>33111</v>
      </c>
      <c r="S75" s="14">
        <f t="shared" si="13"/>
        <v>20872.580505371094</v>
      </c>
      <c r="T75" s="14">
        <f t="shared" si="12"/>
        <v>43589.770141601563</v>
      </c>
      <c r="U75" s="15">
        <f t="shared" si="7"/>
        <v>-12490.825944004706</v>
      </c>
      <c r="V75" s="15">
        <f t="shared" si="8"/>
        <v>18772.560613437803</v>
      </c>
      <c r="W75" s="16">
        <f t="shared" si="9"/>
        <v>-0.22081010567703327</v>
      </c>
      <c r="X75" s="16">
        <f t="shared" si="10"/>
        <v>0.37581746325541959</v>
      </c>
    </row>
    <row r="76" spans="14:24" x14ac:dyDescent="0.25">
      <c r="N76" s="9"/>
      <c r="O76" s="9"/>
      <c r="P76" s="9"/>
      <c r="Q76" s="10"/>
      <c r="R76" s="14">
        <f t="shared" si="11"/>
        <v>33584</v>
      </c>
      <c r="S76" s="14">
        <f t="shared" si="13"/>
        <v>21170.745941162109</v>
      </c>
      <c r="T76" s="14">
        <f t="shared" si="12"/>
        <v>44212.466857910156</v>
      </c>
      <c r="U76" s="15">
        <f t="shared" si="7"/>
        <v>5027.1109185802579</v>
      </c>
      <c r="V76" s="15">
        <f t="shared" si="8"/>
        <v>7223.4326065139212</v>
      </c>
      <c r="W76" s="16">
        <f t="shared" si="9"/>
        <v>8.8473692180326205E-2</v>
      </c>
      <c r="X76" s="16">
        <f t="shared" si="10"/>
        <v>0.14135413143860689</v>
      </c>
    </row>
    <row r="77" spans="14:24" x14ac:dyDescent="0.25">
      <c r="N77" s="9"/>
      <c r="O77" s="9"/>
      <c r="P77" s="9"/>
      <c r="Q77" s="10"/>
      <c r="R77" s="14">
        <f t="shared" si="11"/>
        <v>34057</v>
      </c>
      <c r="S77" s="14">
        <f t="shared" si="13"/>
        <v>21468.911376953125</v>
      </c>
      <c r="T77" s="14">
        <f t="shared" si="12"/>
        <v>44835.16357421875</v>
      </c>
      <c r="U77" s="15">
        <f t="shared" si="7"/>
        <v>20156.318958001928</v>
      </c>
      <c r="V77" s="15">
        <f t="shared" si="8"/>
        <v>-8652.6032478365341</v>
      </c>
      <c r="W77" s="16">
        <f t="shared" si="9"/>
        <v>0.35558385233853329</v>
      </c>
      <c r="X77" s="16">
        <f t="shared" si="10"/>
        <v>-0.18095143658545351</v>
      </c>
    </row>
    <row r="78" spans="14:24" x14ac:dyDescent="0.25">
      <c r="N78" s="9"/>
      <c r="O78" s="9"/>
      <c r="P78" s="9"/>
      <c r="Q78" s="10"/>
      <c r="R78" s="14">
        <f t="shared" si="11"/>
        <v>34530</v>
      </c>
      <c r="S78" s="14">
        <f t="shared" si="13"/>
        <v>21767.076812744141</v>
      </c>
      <c r="T78" s="14">
        <f t="shared" si="12"/>
        <v>45457.860290527344</v>
      </c>
      <c r="U78" s="15">
        <f t="shared" si="7"/>
        <v>25921.930632026735</v>
      </c>
      <c r="V78" s="15">
        <f t="shared" si="8"/>
        <v>-21487.955194175614</v>
      </c>
      <c r="W78" s="16">
        <f t="shared" si="9"/>
        <v>0.45737724784515393</v>
      </c>
      <c r="X78" s="16">
        <f t="shared" si="10"/>
        <v>-0.44152689999497491</v>
      </c>
    </row>
    <row r="79" spans="14:24" x14ac:dyDescent="0.25">
      <c r="N79" s="9"/>
      <c r="O79" s="9"/>
      <c r="P79" s="9"/>
      <c r="Q79" s="10"/>
      <c r="R79" s="14">
        <f t="shared" si="11"/>
        <v>35003</v>
      </c>
      <c r="S79" s="14">
        <f t="shared" si="13"/>
        <v>22065.242248535156</v>
      </c>
      <c r="T79" s="14">
        <f t="shared" si="12"/>
        <v>46080.557006835938</v>
      </c>
      <c r="U79" s="15">
        <f t="shared" si="7"/>
        <v>19716.713078898763</v>
      </c>
      <c r="V79" s="15">
        <f t="shared" si="8"/>
        <v>-24888.014681631146</v>
      </c>
      <c r="W79" s="16">
        <f t="shared" si="9"/>
        <v>0.34782249454189451</v>
      </c>
      <c r="X79" s="16">
        <f t="shared" si="10"/>
        <v>-0.51055282778158018</v>
      </c>
    </row>
    <row r="80" spans="14:24" x14ac:dyDescent="0.25">
      <c r="N80" s="9"/>
      <c r="O80" s="9"/>
      <c r="P80" s="9"/>
      <c r="Q80" s="10"/>
      <c r="R80" s="14">
        <f t="shared" si="11"/>
        <v>35476</v>
      </c>
      <c r="S80" s="14">
        <f t="shared" si="13"/>
        <v>22363.407684326172</v>
      </c>
      <c r="T80" s="14">
        <f t="shared" si="12"/>
        <v>46703.253723144531</v>
      </c>
      <c r="U80" s="15">
        <f t="shared" si="7"/>
        <v>4496.6393760485862</v>
      </c>
      <c r="V80" s="15">
        <f t="shared" si="8"/>
        <v>-16590.346492228917</v>
      </c>
      <c r="W80" s="16">
        <f t="shared" si="9"/>
        <v>7.9108077118665479E-2</v>
      </c>
      <c r="X80" s="16">
        <f t="shared" si="10"/>
        <v>-0.34209864415565888</v>
      </c>
    </row>
    <row r="81" spans="14:24" x14ac:dyDescent="0.25">
      <c r="N81" s="9"/>
      <c r="O81" s="9"/>
      <c r="P81" s="9"/>
      <c r="Q81" s="10"/>
      <c r="R81" s="14">
        <f t="shared" si="11"/>
        <v>35949</v>
      </c>
      <c r="S81" s="14">
        <f t="shared" si="13"/>
        <v>22661.573120117188</v>
      </c>
      <c r="T81" s="14">
        <f t="shared" si="12"/>
        <v>47325.950439453125</v>
      </c>
      <c r="U81" s="15">
        <f t="shared" si="7"/>
        <v>-12623.862602917037</v>
      </c>
      <c r="V81" s="15">
        <f t="shared" si="8"/>
        <v>180.258295743095</v>
      </c>
      <c r="W81" s="16">
        <f t="shared" si="9"/>
        <v>-0.22315890299520036</v>
      </c>
      <c r="X81" s="16">
        <f t="shared" si="10"/>
        <v>-1.632084878321246E-3</v>
      </c>
    </row>
    <row r="82" spans="14:24" x14ac:dyDescent="0.25">
      <c r="N82" s="9"/>
      <c r="O82" s="9"/>
      <c r="P82" s="9"/>
      <c r="Q82" s="10"/>
      <c r="R82" s="14">
        <f t="shared" si="11"/>
        <v>36422</v>
      </c>
      <c r="S82" s="14">
        <f t="shared" si="13"/>
        <v>22959.738555908203</v>
      </c>
      <c r="T82" s="14">
        <f t="shared" si="12"/>
        <v>47948.647155761719</v>
      </c>
      <c r="U82" s="15">
        <f t="shared" si="7"/>
        <v>-23711.166933501554</v>
      </c>
      <c r="V82" s="15">
        <f t="shared" si="8"/>
        <v>17926.533608264137</v>
      </c>
      <c r="W82" s="16">
        <f t="shared" si="9"/>
        <v>-0.41890818661589291</v>
      </c>
      <c r="X82" s="16">
        <f t="shared" si="10"/>
        <v>0.35864194053880444</v>
      </c>
    </row>
    <row r="83" spans="14:24" x14ac:dyDescent="0.25">
      <c r="N83" s="9"/>
      <c r="O83" s="9"/>
      <c r="P83" s="9"/>
      <c r="Q83" s="10"/>
      <c r="R83" s="14">
        <f t="shared" si="11"/>
        <v>36895</v>
      </c>
      <c r="S83" s="14">
        <f t="shared" si="13"/>
        <v>23257.903991699219</v>
      </c>
      <c r="T83" s="14">
        <f t="shared" si="12"/>
        <v>48571.343872070313</v>
      </c>
      <c r="U83" s="15">
        <f t="shared" si="7"/>
        <v>-23713.35778618644</v>
      </c>
      <c r="V83" s="15">
        <f t="shared" si="8"/>
        <v>28227.051191982573</v>
      </c>
      <c r="W83" s="16">
        <f t="shared" si="9"/>
        <v>-0.41894686669815612</v>
      </c>
      <c r="X83" s="16">
        <f t="shared" si="10"/>
        <v>0.56775674735957937</v>
      </c>
    </row>
    <row r="84" spans="14:24" x14ac:dyDescent="0.25">
      <c r="N84" s="9"/>
      <c r="O84" s="9"/>
      <c r="P84" s="9"/>
      <c r="Q84" s="10"/>
      <c r="R84" s="14">
        <f t="shared" si="11"/>
        <v>37368</v>
      </c>
      <c r="S84" s="14">
        <f t="shared" si="13"/>
        <v>23556.069427490234</v>
      </c>
      <c r="T84" s="14">
        <f t="shared" si="12"/>
        <v>49194.040588378906</v>
      </c>
      <c r="U84" s="15">
        <f t="shared" si="7"/>
        <v>-12785.948608823575</v>
      </c>
      <c r="V84" s="15">
        <f t="shared" si="8"/>
        <v>25724.422937615494</v>
      </c>
      <c r="W84" s="16">
        <f t="shared" si="9"/>
        <v>-0.22602057419995131</v>
      </c>
      <c r="X84" s="16">
        <f t="shared" si="10"/>
        <v>0.51694991947906599</v>
      </c>
    </row>
    <row r="85" spans="14:24" x14ac:dyDescent="0.25">
      <c r="N85" s="9"/>
      <c r="O85" s="9"/>
      <c r="P85" s="9"/>
      <c r="Q85" s="10"/>
      <c r="R85" s="14">
        <f t="shared" si="11"/>
        <v>37841</v>
      </c>
      <c r="S85" s="14">
        <f t="shared" si="13"/>
        <v>23854.23486328125</v>
      </c>
      <c r="T85" s="14">
        <f t="shared" si="12"/>
        <v>49816.7373046875</v>
      </c>
      <c r="U85" s="15">
        <f t="shared" si="7"/>
        <v>3838.9147396222779</v>
      </c>
      <c r="V85" s="15">
        <f t="shared" si="8"/>
        <v>10867.741688169033</v>
      </c>
      <c r="W85" s="16">
        <f t="shared" si="9"/>
        <v>6.7495775105364239E-2</v>
      </c>
      <c r="X85" s="16">
        <f t="shared" si="10"/>
        <v>0.2153386650711778</v>
      </c>
    </row>
    <row r="86" spans="14:24" x14ac:dyDescent="0.25">
      <c r="N86" s="9"/>
      <c r="O86" s="9"/>
      <c r="P86" s="9"/>
      <c r="Q86" s="10"/>
      <c r="R86" s="14">
        <f t="shared" si="11"/>
        <v>38314</v>
      </c>
      <c r="S86" s="14">
        <f t="shared" si="13"/>
        <v>24152.400299072266</v>
      </c>
      <c r="T86" s="14">
        <f t="shared" si="12"/>
        <v>50439.434020996094</v>
      </c>
      <c r="U86" s="15">
        <f t="shared" si="7"/>
        <v>18358.13788139612</v>
      </c>
      <c r="V86" s="15">
        <f t="shared" si="8"/>
        <v>-9977.967659836635</v>
      </c>
      <c r="W86" s="16">
        <f t="shared" si="9"/>
        <v>0.32383649093573541</v>
      </c>
      <c r="X86" s="16">
        <f t="shared" si="10"/>
        <v>-0.20785817410907223</v>
      </c>
    </row>
    <row r="87" spans="14:24" x14ac:dyDescent="0.25">
      <c r="N87" s="9"/>
      <c r="O87" s="9"/>
      <c r="P87" s="9"/>
      <c r="Q87" s="10"/>
      <c r="R87" s="14">
        <f t="shared" si="11"/>
        <v>38787</v>
      </c>
      <c r="S87" s="14">
        <f t="shared" si="13"/>
        <v>24450.565734863281</v>
      </c>
      <c r="T87" s="14">
        <f t="shared" si="12"/>
        <v>51062.130737304687</v>
      </c>
      <c r="U87" s="15">
        <f t="shared" si="7"/>
        <v>24078.439853626725</v>
      </c>
      <c r="V87" s="15">
        <f t="shared" si="8"/>
        <v>-27248.762118756658</v>
      </c>
      <c r="W87" s="16">
        <f t="shared" si="9"/>
        <v>0.42482993170107458</v>
      </c>
      <c r="X87" s="16">
        <f t="shared" si="10"/>
        <v>-0.55847927810359688</v>
      </c>
    </row>
    <row r="88" spans="14:24" x14ac:dyDescent="0.25">
      <c r="N88" s="9"/>
      <c r="O88" s="9"/>
      <c r="P88" s="9"/>
      <c r="Q88" s="10"/>
      <c r="R88" s="14">
        <f t="shared" si="11"/>
        <v>39260</v>
      </c>
      <c r="S88" s="14">
        <f t="shared" si="13"/>
        <v>24748.731170654297</v>
      </c>
      <c r="T88" s="14">
        <f t="shared" si="12"/>
        <v>51684.827453613281</v>
      </c>
      <c r="U88" s="15">
        <f t="shared" si="7"/>
        <v>18528.489018997803</v>
      </c>
      <c r="V88" s="15">
        <f t="shared" si="8"/>
        <v>-32570.771077344856</v>
      </c>
      <c r="W88" s="16">
        <f t="shared" si="9"/>
        <v>0.32684408522152714</v>
      </c>
      <c r="X88" s="16">
        <f t="shared" si="10"/>
        <v>-0.66652344833371546</v>
      </c>
    </row>
    <row r="89" spans="14:24" x14ac:dyDescent="0.25">
      <c r="N89" s="9"/>
      <c r="O89" s="9"/>
      <c r="P89" s="9"/>
      <c r="Q89" s="10"/>
      <c r="R89" s="14">
        <f t="shared" si="11"/>
        <v>39733</v>
      </c>
      <c r="S89" s="14">
        <f t="shared" si="13"/>
        <v>25046.896606445313</v>
      </c>
      <c r="T89" s="14">
        <f t="shared" si="12"/>
        <v>52307.524169921875</v>
      </c>
      <c r="U89" s="15">
        <f t="shared" si="7"/>
        <v>4543.8875405139879</v>
      </c>
      <c r="V89" s="15">
        <f t="shared" si="8"/>
        <v>-22806.44184876747</v>
      </c>
      <c r="W89" s="16">
        <f t="shared" si="9"/>
        <v>7.9942255929919187E-2</v>
      </c>
      <c r="X89" s="16">
        <f t="shared" si="10"/>
        <v>-0.46829400949504085</v>
      </c>
    </row>
    <row r="90" spans="14:24" x14ac:dyDescent="0.25">
      <c r="N90" s="9"/>
      <c r="O90" s="9"/>
      <c r="P90" s="9"/>
      <c r="Q90" s="10"/>
      <c r="R90" s="14">
        <f t="shared" si="11"/>
        <v>40206</v>
      </c>
      <c r="S90" s="14">
        <f t="shared" si="13"/>
        <v>25345.062042236328</v>
      </c>
      <c r="T90" s="14">
        <f t="shared" si="12"/>
        <v>52930.220886230469</v>
      </c>
      <c r="U90" s="15">
        <f t="shared" si="7"/>
        <v>-11159.886534330373</v>
      </c>
      <c r="V90" s="15">
        <f t="shared" si="8"/>
        <v>-1808.2067088121657</v>
      </c>
      <c r="W90" s="16">
        <f t="shared" si="9"/>
        <v>-0.19731201919738101</v>
      </c>
      <c r="X90" s="16">
        <f t="shared" si="10"/>
        <v>-4.2000684991650383E-2</v>
      </c>
    </row>
    <row r="91" spans="14:24" x14ac:dyDescent="0.25">
      <c r="N91" s="9"/>
      <c r="O91" s="9"/>
      <c r="P91" s="9"/>
      <c r="Q91" s="10"/>
      <c r="R91" s="14">
        <f t="shared" si="11"/>
        <v>40679</v>
      </c>
      <c r="S91" s="14">
        <f t="shared" si="13"/>
        <v>25643.227478027344</v>
      </c>
      <c r="T91" s="14">
        <f t="shared" si="12"/>
        <v>53552.917602539063</v>
      </c>
      <c r="U91" s="15">
        <f t="shared" si="7"/>
        <v>-21217.032566313472</v>
      </c>
      <c r="V91" s="15">
        <f t="shared" si="8"/>
        <v>21067.797110859829</v>
      </c>
      <c r="W91" s="16">
        <f t="shared" si="9"/>
        <v>-0.37487358622307787</v>
      </c>
      <c r="X91" s="16">
        <f t="shared" si="10"/>
        <v>0.42241395055476294</v>
      </c>
    </row>
    <row r="92" spans="14:24" x14ac:dyDescent="0.25">
      <c r="N92" s="9"/>
      <c r="O92" s="9"/>
      <c r="P92" s="9"/>
      <c r="Q92" s="10"/>
      <c r="R92" s="14">
        <f t="shared" si="11"/>
        <v>41152</v>
      </c>
      <c r="S92" s="14">
        <f t="shared" si="13"/>
        <v>25941.392913818359</v>
      </c>
      <c r="T92" s="14">
        <f t="shared" si="12"/>
        <v>54175.614318847656</v>
      </c>
      <c r="U92" s="15">
        <f t="shared" si="7"/>
        <v>-21088.791437432788</v>
      </c>
      <c r="V92" s="15">
        <f t="shared" si="8"/>
        <v>35132.891540554461</v>
      </c>
      <c r="W92" s="16">
        <f t="shared" si="9"/>
        <v>-0.37260945525304079</v>
      </c>
      <c r="X92" s="16">
        <f t="shared" si="10"/>
        <v>0.7079548935876262</v>
      </c>
    </row>
    <row r="93" spans="14:24" x14ac:dyDescent="0.25">
      <c r="N93" s="9"/>
      <c r="O93" s="9"/>
      <c r="P93" s="9"/>
      <c r="Q93" s="10"/>
      <c r="R93" s="14">
        <f t="shared" si="11"/>
        <v>41625</v>
      </c>
      <c r="S93" s="14">
        <f t="shared" si="13"/>
        <v>26239.558349609375</v>
      </c>
      <c r="T93" s="14">
        <f t="shared" si="12"/>
        <v>54798.31103515625</v>
      </c>
      <c r="U93" s="15">
        <f t="shared" si="7"/>
        <v>-11137.678129895765</v>
      </c>
      <c r="V93" s="15">
        <f t="shared" si="8"/>
        <v>33361.498901375373</v>
      </c>
      <c r="W93" s="16">
        <f t="shared" si="9"/>
        <v>-0.19691992395684169</v>
      </c>
      <c r="X93" s="16">
        <f t="shared" si="10"/>
        <v>0.67199316384589058</v>
      </c>
    </row>
    <row r="94" spans="14:24" x14ac:dyDescent="0.25">
      <c r="N94" s="9"/>
      <c r="O94" s="9"/>
      <c r="P94" s="9"/>
      <c r="Q94" s="10"/>
      <c r="R94" s="14">
        <f t="shared" si="11"/>
        <v>42098</v>
      </c>
      <c r="S94" s="14">
        <f t="shared" si="13"/>
        <v>26537.723785400391</v>
      </c>
      <c r="T94" s="14">
        <f t="shared" si="12"/>
        <v>55421.007751464844</v>
      </c>
      <c r="U94" s="15">
        <f t="shared" si="7"/>
        <v>3661.0042222608608</v>
      </c>
      <c r="V94" s="15">
        <f t="shared" si="8"/>
        <v>15875.524088513665</v>
      </c>
      <c r="W94" s="16">
        <f t="shared" si="9"/>
        <v>6.4354717975181885E-2</v>
      </c>
      <c r="X94" s="16">
        <f t="shared" si="10"/>
        <v>0.31700359993850996</v>
      </c>
    </row>
    <row r="95" spans="14:24" x14ac:dyDescent="0.25">
      <c r="N95" s="9"/>
      <c r="O95" s="9"/>
      <c r="P95" s="9"/>
      <c r="Q95" s="10"/>
      <c r="R95" s="14">
        <f t="shared" si="11"/>
        <v>42571</v>
      </c>
      <c r="S95" s="14">
        <f t="shared" si="13"/>
        <v>26835.889221191406</v>
      </c>
      <c r="T95" s="14">
        <f t="shared" si="12"/>
        <v>56043.704467773438</v>
      </c>
      <c r="U95" s="15">
        <f t="shared" si="7"/>
        <v>16189.532818197398</v>
      </c>
      <c r="V95" s="15">
        <f t="shared" si="8"/>
        <v>-9801.0035082209761</v>
      </c>
      <c r="W95" s="16">
        <f t="shared" si="9"/>
        <v>0.28554919630395037</v>
      </c>
      <c r="X95" s="16">
        <f t="shared" si="10"/>
        <v>-0.204265556157737</v>
      </c>
    </row>
    <row r="96" spans="14:24" x14ac:dyDescent="0.25">
      <c r="N96" s="9"/>
      <c r="O96" s="9"/>
      <c r="P96" s="9"/>
      <c r="Q96" s="10"/>
      <c r="R96" s="14">
        <f t="shared" si="11"/>
        <v>43044</v>
      </c>
      <c r="S96" s="14">
        <f t="shared" si="13"/>
        <v>27134.054656982422</v>
      </c>
      <c r="T96" s="14">
        <f t="shared" si="12"/>
        <v>56666.401184082031</v>
      </c>
      <c r="U96" s="15">
        <f t="shared" si="7"/>
        <v>20620.613538064583</v>
      </c>
      <c r="V96" s="15">
        <f t="shared" si="8"/>
        <v>-31974.44194084224</v>
      </c>
      <c r="W96" s="16">
        <f t="shared" si="9"/>
        <v>0.36378109566534683</v>
      </c>
      <c r="X96" s="16">
        <f t="shared" si="10"/>
        <v>-0.65441713899849785</v>
      </c>
    </row>
    <row r="97" spans="14:24" x14ac:dyDescent="0.25">
      <c r="N97" s="9"/>
      <c r="O97" s="9"/>
      <c r="P97" s="9"/>
      <c r="Q97" s="10"/>
      <c r="R97" s="14">
        <f t="shared" si="11"/>
        <v>43517</v>
      </c>
      <c r="S97" s="14">
        <f t="shared" si="13"/>
        <v>27432.220092773438</v>
      </c>
      <c r="T97" s="14">
        <f t="shared" si="12"/>
        <v>57289.097900390625</v>
      </c>
      <c r="U97" s="15">
        <f t="shared" si="7"/>
        <v>15153.614100062812</v>
      </c>
      <c r="V97" s="15">
        <f t="shared" si="8"/>
        <v>-40115.383092653748</v>
      </c>
      <c r="W97" s="16">
        <f t="shared" si="9"/>
        <v>0.26725977798206502</v>
      </c>
      <c r="X97" s="16">
        <f t="shared" si="10"/>
        <v>-0.81968954618231304</v>
      </c>
    </row>
    <row r="98" spans="14:24" x14ac:dyDescent="0.25">
      <c r="N98" s="9"/>
      <c r="O98" s="9"/>
      <c r="P98" s="9"/>
      <c r="Q98" s="10"/>
      <c r="R98" s="14">
        <f t="shared" si="11"/>
        <v>43990</v>
      </c>
      <c r="S98" s="14">
        <f t="shared" si="13"/>
        <v>27730.385528564453</v>
      </c>
      <c r="T98" s="14">
        <f t="shared" si="12"/>
        <v>57911.794616699219</v>
      </c>
      <c r="U98" s="15">
        <f t="shared" si="7"/>
        <v>2758.4536036760965</v>
      </c>
      <c r="V98" s="15">
        <f t="shared" si="8"/>
        <v>-29857.223301398411</v>
      </c>
      <c r="W98" s="16">
        <f t="shared" si="9"/>
        <v>4.8419948643377467E-2</v>
      </c>
      <c r="X98" s="16">
        <f t="shared" si="10"/>
        <v>-0.61143466135247526</v>
      </c>
    </row>
    <row r="99" spans="14:24" x14ac:dyDescent="0.25">
      <c r="N99" s="9"/>
      <c r="O99" s="9"/>
      <c r="P99" s="9"/>
      <c r="Q99" s="10"/>
      <c r="R99" s="14">
        <f t="shared" si="11"/>
        <v>44463</v>
      </c>
      <c r="S99" s="14">
        <f t="shared" si="13"/>
        <v>28028.550964355469</v>
      </c>
      <c r="T99" s="14">
        <f t="shared" si="12"/>
        <v>58534.491333007813</v>
      </c>
      <c r="U99" s="15">
        <f t="shared" si="7"/>
        <v>-10387.089752147294</v>
      </c>
      <c r="V99" s="15">
        <f t="shared" si="8"/>
        <v>-5286.7662649664435</v>
      </c>
      <c r="W99" s="16">
        <f t="shared" si="9"/>
        <v>-0.18366808808606291</v>
      </c>
      <c r="X99" s="16">
        <f t="shared" si="10"/>
        <v>-0.11262027315191525</v>
      </c>
    </row>
    <row r="100" spans="14:24" x14ac:dyDescent="0.25">
      <c r="N100" s="9"/>
      <c r="O100" s="9"/>
      <c r="P100" s="9"/>
      <c r="Q100" s="10"/>
      <c r="R100" s="14">
        <f t="shared" si="11"/>
        <v>44936</v>
      </c>
      <c r="S100" s="14">
        <f t="shared" si="13"/>
        <v>28326.716400146484</v>
      </c>
      <c r="T100" s="14">
        <f t="shared" si="12"/>
        <v>59157.188049316406</v>
      </c>
      <c r="U100" s="15">
        <f t="shared" si="7"/>
        <v>-17962.9424563297</v>
      </c>
      <c r="V100" s="15">
        <f t="shared" si="8"/>
        <v>22655.608872347475</v>
      </c>
      <c r="W100" s="16">
        <f t="shared" si="9"/>
        <v>-0.31742176665776051</v>
      </c>
      <c r="X100" s="16">
        <f t="shared" si="10"/>
        <v>0.45464873362004082</v>
      </c>
    </row>
    <row r="101" spans="14:24" x14ac:dyDescent="0.25">
      <c r="N101" s="9"/>
      <c r="O101" s="9"/>
      <c r="P101" s="9"/>
      <c r="Q101" s="10"/>
      <c r="R101" s="14">
        <f t="shared" si="11"/>
        <v>45409</v>
      </c>
      <c r="S101" s="14">
        <f t="shared" si="13"/>
        <v>28624.8818359375</v>
      </c>
      <c r="T101" s="14">
        <f t="shared" si="12"/>
        <v>59779.884765625</v>
      </c>
      <c r="U101" s="15">
        <f t="shared" ref="U101:U164" si="14">(R101-S101)*COS(T101)+S101*COS((R101/S101-1)*T101)</f>
        <v>-16559.867431024417</v>
      </c>
      <c r="V101" s="15">
        <f t="shared" ref="V101:V164" si="15">(R101-S101)*SIN(T101)-S101*SIN((R101/S101-1)*T101)</f>
        <v>41055.293819130289</v>
      </c>
      <c r="W101" s="16">
        <f t="shared" si="9"/>
        <v>-0.29265010684934656</v>
      </c>
      <c r="X101" s="16">
        <f t="shared" si="10"/>
        <v>0.82818788171988111</v>
      </c>
    </row>
    <row r="102" spans="14:24" x14ac:dyDescent="0.25">
      <c r="N102" s="9"/>
      <c r="O102" s="9"/>
      <c r="P102" s="9"/>
      <c r="Q102" s="10"/>
      <c r="R102" s="14">
        <f t="shared" si="11"/>
        <v>45882</v>
      </c>
      <c r="S102" s="14">
        <f t="shared" si="13"/>
        <v>28923.047271728516</v>
      </c>
      <c r="T102" s="14">
        <f t="shared" si="12"/>
        <v>60402.581481933594</v>
      </c>
      <c r="U102" s="15">
        <f t="shared" si="14"/>
        <v>-7239.6913443501462</v>
      </c>
      <c r="V102" s="15">
        <f t="shared" si="15"/>
        <v>41002.851316179011</v>
      </c>
      <c r="W102" s="16">
        <f t="shared" si="9"/>
        <v>-0.12809993867614053</v>
      </c>
      <c r="X102" s="16">
        <f t="shared" si="10"/>
        <v>0.82712322610576039</v>
      </c>
    </row>
    <row r="103" spans="14:24" x14ac:dyDescent="0.25">
      <c r="N103" s="9"/>
      <c r="O103" s="9"/>
      <c r="P103" s="9"/>
      <c r="Q103" s="10"/>
      <c r="R103" s="14">
        <f t="shared" si="11"/>
        <v>46355</v>
      </c>
      <c r="S103" s="14">
        <f t="shared" si="13"/>
        <v>29221.212707519531</v>
      </c>
      <c r="T103" s="14">
        <f t="shared" si="12"/>
        <v>61025.278198242188</v>
      </c>
      <c r="U103" s="15">
        <f t="shared" si="14"/>
        <v>5123.0685648172803</v>
      </c>
      <c r="V103" s="15">
        <f t="shared" si="15"/>
        <v>21900.318022921638</v>
      </c>
      <c r="W103" s="16">
        <f t="shared" si="9"/>
        <v>9.0167849745480241E-2</v>
      </c>
      <c r="X103" s="16">
        <f t="shared" si="10"/>
        <v>0.43931528083114063</v>
      </c>
    </row>
    <row r="104" spans="14:24" x14ac:dyDescent="0.25">
      <c r="N104" s="9"/>
      <c r="O104" s="9"/>
      <c r="P104" s="9"/>
      <c r="Q104" s="10"/>
      <c r="R104" s="14">
        <f t="shared" si="11"/>
        <v>46828</v>
      </c>
      <c r="S104" s="14">
        <f t="shared" si="13"/>
        <v>29519.378143310547</v>
      </c>
      <c r="T104" s="14">
        <f t="shared" si="12"/>
        <v>61647.974914550781</v>
      </c>
      <c r="U104" s="15">
        <f t="shared" si="14"/>
        <v>14346.478062020075</v>
      </c>
      <c r="V104" s="15">
        <f t="shared" si="15"/>
        <v>-7984.1622542639179</v>
      </c>
      <c r="W104" s="16">
        <f t="shared" si="9"/>
        <v>0.25300957824726794</v>
      </c>
      <c r="X104" s="16">
        <f t="shared" si="10"/>
        <v>-0.16738115644118487</v>
      </c>
    </row>
    <row r="105" spans="14:24" x14ac:dyDescent="0.25">
      <c r="N105" s="9"/>
      <c r="O105" s="9"/>
      <c r="P105" s="9"/>
      <c r="Q105" s="10"/>
      <c r="R105" s="14">
        <f t="shared" si="11"/>
        <v>47301</v>
      </c>
      <c r="S105" s="14">
        <f t="shared" si="13"/>
        <v>29817.543579101563</v>
      </c>
      <c r="T105" s="14">
        <f t="shared" si="12"/>
        <v>62270.671630859375</v>
      </c>
      <c r="U105" s="15">
        <f t="shared" si="14"/>
        <v>16022.882245339122</v>
      </c>
      <c r="V105" s="15">
        <f t="shared" si="15"/>
        <v>-35095.100154670705</v>
      </c>
      <c r="W105" s="16">
        <f t="shared" si="9"/>
        <v>0.28260693646519064</v>
      </c>
      <c r="X105" s="16">
        <f t="shared" si="10"/>
        <v>-0.71777083304683398</v>
      </c>
    </row>
    <row r="106" spans="14:24" x14ac:dyDescent="0.25">
      <c r="N106" s="9"/>
      <c r="O106" s="9"/>
      <c r="P106" s="9"/>
      <c r="Q106" s="10"/>
      <c r="R106" s="14">
        <f t="shared" si="11"/>
        <v>47774</v>
      </c>
      <c r="S106" s="14">
        <f t="shared" si="13"/>
        <v>30115.709014892578</v>
      </c>
      <c r="T106" s="14">
        <f t="shared" si="12"/>
        <v>62893.368347167969</v>
      </c>
      <c r="U106" s="15">
        <f t="shared" si="14"/>
        <v>9645.3017158801449</v>
      </c>
      <c r="V106" s="15">
        <f t="shared" si="15"/>
        <v>-46753.354914381525</v>
      </c>
      <c r="W106" s="16">
        <f t="shared" si="9"/>
        <v>0.17000906933249904</v>
      </c>
      <c r="X106" s="16">
        <f t="shared" si="10"/>
        <v>-0.95444958944231928</v>
      </c>
    </row>
    <row r="107" spans="14:24" x14ac:dyDescent="0.25">
      <c r="N107" s="9"/>
      <c r="O107" s="9"/>
      <c r="P107" s="9"/>
      <c r="Q107" s="10"/>
      <c r="R107" s="14">
        <f t="shared" si="11"/>
        <v>48247</v>
      </c>
      <c r="S107" s="14">
        <f t="shared" si="13"/>
        <v>30413.874450683594</v>
      </c>
      <c r="T107" s="14">
        <f t="shared" si="12"/>
        <v>63516.065063476563</v>
      </c>
      <c r="U107" s="15">
        <f t="shared" si="14"/>
        <v>-1255.2097591989568</v>
      </c>
      <c r="V107" s="15">
        <f t="shared" si="15"/>
        <v>-37095.563270896819</v>
      </c>
      <c r="W107" s="16">
        <f t="shared" si="9"/>
        <v>-2.2442337134250413E-2</v>
      </c>
      <c r="X107" s="16">
        <f t="shared" si="10"/>
        <v>-0.75838301148366705</v>
      </c>
    </row>
    <row r="108" spans="14:24" x14ac:dyDescent="0.25">
      <c r="N108" s="9"/>
      <c r="O108" s="9"/>
      <c r="P108" s="9"/>
      <c r="Q108" s="10"/>
      <c r="R108" s="14">
        <f t="shared" si="11"/>
        <v>48720</v>
      </c>
      <c r="S108" s="14">
        <f t="shared" si="13"/>
        <v>30712.039886474609</v>
      </c>
      <c r="T108" s="14">
        <f t="shared" si="12"/>
        <v>64138.761779785156</v>
      </c>
      <c r="U108" s="15">
        <f t="shared" si="14"/>
        <v>-10991.43473360793</v>
      </c>
      <c r="V108" s="15">
        <f t="shared" si="15"/>
        <v>-10002.569712379494</v>
      </c>
      <c r="W108" s="16">
        <f t="shared" si="9"/>
        <v>-0.19433795820538011</v>
      </c>
      <c r="X108" s="16">
        <f t="shared" si="10"/>
        <v>-0.20835762992991627</v>
      </c>
    </row>
    <row r="109" spans="14:24" x14ac:dyDescent="0.25">
      <c r="N109" s="9"/>
      <c r="O109" s="9"/>
      <c r="P109" s="9"/>
      <c r="Q109" s="10"/>
      <c r="R109" s="14">
        <f t="shared" si="11"/>
        <v>49193</v>
      </c>
      <c r="S109" s="14">
        <f t="shared" si="13"/>
        <v>31010.205322265625</v>
      </c>
      <c r="T109" s="14">
        <f t="shared" si="12"/>
        <v>64761.45849609375</v>
      </c>
      <c r="U109" s="15">
        <f t="shared" si="14"/>
        <v>-14644.198132553425</v>
      </c>
      <c r="V109" s="15">
        <f t="shared" si="15"/>
        <v>22437.857122820107</v>
      </c>
      <c r="W109" s="16">
        <f t="shared" si="9"/>
        <v>-0.2588284598872953</v>
      </c>
      <c r="X109" s="16">
        <f t="shared" si="10"/>
        <v>0.45022807080701122</v>
      </c>
    </row>
    <row r="110" spans="14:24" x14ac:dyDescent="0.25">
      <c r="N110" s="9"/>
      <c r="O110" s="9"/>
      <c r="P110" s="9"/>
      <c r="Q110" s="10"/>
      <c r="R110" s="14">
        <f t="shared" si="11"/>
        <v>49666</v>
      </c>
      <c r="S110" s="14">
        <f t="shared" si="13"/>
        <v>31308.370758056641</v>
      </c>
      <c r="T110" s="14">
        <f t="shared" si="12"/>
        <v>65384.155212402344</v>
      </c>
      <c r="U110" s="15">
        <f t="shared" si="14"/>
        <v>-10542.410579610521</v>
      </c>
      <c r="V110" s="15">
        <f t="shared" si="15"/>
        <v>45337.130378522721</v>
      </c>
      <c r="W110" s="16">
        <f t="shared" si="9"/>
        <v>-0.18641031828023463</v>
      </c>
      <c r="X110" s="16">
        <f t="shared" si="10"/>
        <v>0.91511510820904229</v>
      </c>
    </row>
    <row r="111" spans="14:24" x14ac:dyDescent="0.25">
      <c r="N111" s="9"/>
      <c r="O111" s="9"/>
      <c r="P111" s="9"/>
      <c r="Q111" s="10"/>
      <c r="R111" s="14">
        <f t="shared" si="11"/>
        <v>50139</v>
      </c>
      <c r="S111" s="14">
        <f t="shared" si="13"/>
        <v>31606.536193847656</v>
      </c>
      <c r="T111" s="14">
        <f t="shared" si="12"/>
        <v>66006.851928710938</v>
      </c>
      <c r="U111" s="15">
        <f t="shared" si="14"/>
        <v>-1051.6446768095302</v>
      </c>
      <c r="V111" s="15">
        <f t="shared" si="15"/>
        <v>47857.415696793163</v>
      </c>
      <c r="W111" s="16">
        <f t="shared" si="9"/>
        <v>-1.8848341888896059E-2</v>
      </c>
      <c r="X111" s="16">
        <f t="shared" si="10"/>
        <v>0.96628039899951768</v>
      </c>
    </row>
    <row r="112" spans="14:24" x14ac:dyDescent="0.25">
      <c r="N112" s="9"/>
      <c r="O112" s="9"/>
      <c r="P112" s="9"/>
      <c r="Q112" s="10"/>
      <c r="R112" s="14">
        <f t="shared" si="11"/>
        <v>50612</v>
      </c>
      <c r="S112" s="14">
        <f t="shared" si="13"/>
        <v>31904.701629638672</v>
      </c>
      <c r="T112" s="14">
        <f t="shared" si="12"/>
        <v>66629.548645019531</v>
      </c>
      <c r="U112" s="15">
        <f t="shared" si="14"/>
        <v>8711.1463503056584</v>
      </c>
      <c r="V112" s="15">
        <f t="shared" si="15"/>
        <v>28347.484144730024</v>
      </c>
      <c r="W112" s="16">
        <f t="shared" si="9"/>
        <v>0.15351630985288336</v>
      </c>
      <c r="X112" s="16">
        <f t="shared" si="10"/>
        <v>0.57020170349347765</v>
      </c>
    </row>
    <row r="113" spans="14:24" x14ac:dyDescent="0.25">
      <c r="N113" s="9"/>
      <c r="O113" s="9"/>
      <c r="P113" s="9"/>
      <c r="Q113" s="10"/>
      <c r="R113" s="14">
        <f t="shared" si="11"/>
        <v>51085</v>
      </c>
      <c r="S113" s="14">
        <f t="shared" si="13"/>
        <v>32202.867065429688</v>
      </c>
      <c r="T113" s="14">
        <f t="shared" si="12"/>
        <v>67252.245361328125</v>
      </c>
      <c r="U113" s="15">
        <f t="shared" si="14"/>
        <v>13564.702471617798</v>
      </c>
      <c r="V113" s="15">
        <f t="shared" si="15"/>
        <v>-4674.0472430015707</v>
      </c>
      <c r="W113" s="16">
        <f t="shared" si="9"/>
        <v>0.23920712390755541</v>
      </c>
      <c r="X113" s="16">
        <f t="shared" si="10"/>
        <v>-0.10018122638827245</v>
      </c>
    </row>
    <row r="114" spans="14:24" x14ac:dyDescent="0.25">
      <c r="N114" s="9"/>
      <c r="O114" s="9"/>
      <c r="P114" s="9"/>
      <c r="Q114" s="10"/>
      <c r="R114" s="14">
        <f t="shared" si="11"/>
        <v>51558</v>
      </c>
      <c r="S114" s="14">
        <f t="shared" si="13"/>
        <v>32501.032501220703</v>
      </c>
      <c r="T114" s="14">
        <f t="shared" si="12"/>
        <v>67874.942077636719</v>
      </c>
      <c r="U114" s="15">
        <f t="shared" si="14"/>
        <v>10967.934047439143</v>
      </c>
      <c r="V114" s="15">
        <f t="shared" si="15"/>
        <v>-36242.954053036483</v>
      </c>
      <c r="W114" s="16">
        <f t="shared" si="9"/>
        <v>0.19336049215599349</v>
      </c>
      <c r="X114" s="16">
        <f t="shared" si="10"/>
        <v>-0.74107386071164205</v>
      </c>
    </row>
    <row r="115" spans="14:24" x14ac:dyDescent="0.25">
      <c r="N115" s="9"/>
      <c r="O115" s="9"/>
      <c r="P115" s="9"/>
      <c r="Q115" s="10"/>
      <c r="R115" s="14">
        <f t="shared" si="11"/>
        <v>52031</v>
      </c>
      <c r="S115" s="14">
        <f t="shared" si="13"/>
        <v>32799.197937011719</v>
      </c>
      <c r="T115" s="14">
        <f t="shared" si="12"/>
        <v>68497.638793945313</v>
      </c>
      <c r="U115" s="15">
        <f t="shared" si="14"/>
        <v>2348.1444098535299</v>
      </c>
      <c r="V115" s="15">
        <f t="shared" si="15"/>
        <v>-51751.305613127304</v>
      </c>
      <c r="W115" s="16">
        <f t="shared" si="9"/>
        <v>4.1175831556035193E-2</v>
      </c>
      <c r="X115" s="16">
        <f t="shared" si="10"/>
        <v>-1.0559149271181654</v>
      </c>
    </row>
    <row r="116" spans="14:24" x14ac:dyDescent="0.25">
      <c r="N116" s="9"/>
      <c r="O116" s="9"/>
      <c r="P116" s="9"/>
      <c r="Q116" s="10"/>
      <c r="R116" s="14">
        <f t="shared" si="11"/>
        <v>52504</v>
      </c>
      <c r="S116" s="14">
        <f t="shared" si="13"/>
        <v>33097.363372802734</v>
      </c>
      <c r="T116" s="14">
        <f t="shared" si="12"/>
        <v>69120.335510253906</v>
      </c>
      <c r="U116" s="15">
        <f t="shared" si="14"/>
        <v>-7639.0290715841802</v>
      </c>
      <c r="V116" s="15">
        <f t="shared" si="15"/>
        <v>-43726.259197864376</v>
      </c>
      <c r="W116" s="16">
        <f t="shared" si="9"/>
        <v>-0.13515035162576475</v>
      </c>
      <c r="X116" s="16">
        <f t="shared" si="10"/>
        <v>-0.89299534397915437</v>
      </c>
    </row>
    <row r="117" spans="14:24" x14ac:dyDescent="0.25">
      <c r="N117" s="9"/>
      <c r="O117" s="9"/>
      <c r="P117" s="9"/>
      <c r="Q117" s="10"/>
      <c r="R117" s="14">
        <f t="shared" si="11"/>
        <v>52977</v>
      </c>
      <c r="S117" s="14">
        <f t="shared" si="13"/>
        <v>33395.52880859375</v>
      </c>
      <c r="T117" s="14">
        <f t="shared" si="12"/>
        <v>69743.0322265625</v>
      </c>
      <c r="U117" s="15">
        <f t="shared" si="14"/>
        <v>-13549.259860878443</v>
      </c>
      <c r="V117" s="15">
        <f t="shared" si="15"/>
        <v>-15431.484484574023</v>
      </c>
      <c r="W117" s="16">
        <f t="shared" si="9"/>
        <v>-0.23949703577386003</v>
      </c>
      <c r="X117" s="16">
        <f t="shared" si="10"/>
        <v>-0.31857213659008399</v>
      </c>
    </row>
    <row r="118" spans="14:24" x14ac:dyDescent="0.25">
      <c r="N118" s="9"/>
      <c r="O118" s="9"/>
      <c r="P118" s="9"/>
      <c r="Q118" s="10"/>
      <c r="R118" s="14">
        <f t="shared" si="11"/>
        <v>53450</v>
      </c>
      <c r="S118" s="14">
        <f t="shared" si="13"/>
        <v>33693.694244384766</v>
      </c>
      <c r="T118" s="14">
        <f t="shared" si="12"/>
        <v>70365.728942871094</v>
      </c>
      <c r="U118" s="15">
        <f t="shared" si="14"/>
        <v>-12037.565437841928</v>
      </c>
      <c r="V118" s="15">
        <f t="shared" si="15"/>
        <v>20445.013775516843</v>
      </c>
      <c r="W118" s="16">
        <f t="shared" si="9"/>
        <v>-0.21280767183654006</v>
      </c>
      <c r="X118" s="16">
        <f t="shared" si="10"/>
        <v>0.40977058425758778</v>
      </c>
    </row>
    <row r="119" spans="14:24" x14ac:dyDescent="0.25">
      <c r="N119" s="9"/>
      <c r="O119" s="9"/>
      <c r="P119" s="9"/>
      <c r="Q119" s="10"/>
      <c r="R119" s="14">
        <f t="shared" si="11"/>
        <v>53923</v>
      </c>
      <c r="S119" s="14">
        <f t="shared" si="13"/>
        <v>33991.859680175781</v>
      </c>
      <c r="T119" s="14">
        <f t="shared" si="12"/>
        <v>70988.425659179688</v>
      </c>
      <c r="U119" s="15">
        <f t="shared" si="14"/>
        <v>-3692.519271585641</v>
      </c>
      <c r="V119" s="15">
        <f t="shared" si="15"/>
        <v>47497.464023145731</v>
      </c>
      <c r="W119" s="16">
        <f t="shared" si="9"/>
        <v>-6.5473679720878974E-2</v>
      </c>
      <c r="X119" s="16">
        <f t="shared" si="10"/>
        <v>0.95897288031535222</v>
      </c>
    </row>
    <row r="120" spans="14:24" x14ac:dyDescent="0.25">
      <c r="N120" s="9"/>
      <c r="O120" s="9"/>
      <c r="P120" s="9"/>
      <c r="Q120" s="10"/>
      <c r="R120" s="14">
        <f t="shared" si="11"/>
        <v>54396</v>
      </c>
      <c r="S120" s="14">
        <f t="shared" si="13"/>
        <v>34290.025115966797</v>
      </c>
      <c r="T120" s="14">
        <f t="shared" si="12"/>
        <v>71611.122375488281</v>
      </c>
      <c r="U120" s="15">
        <f t="shared" si="14"/>
        <v>7166.6324707226668</v>
      </c>
      <c r="V120" s="15">
        <f t="shared" si="15"/>
        <v>53129.446065074633</v>
      </c>
      <c r="W120" s="16">
        <f t="shared" si="9"/>
        <v>0.12624750974999593</v>
      </c>
      <c r="X120" s="16">
        <f t="shared" si="10"/>
        <v>1.0733099344627692</v>
      </c>
    </row>
    <row r="121" spans="14:24" x14ac:dyDescent="0.25">
      <c r="N121" s="9"/>
      <c r="O121" s="9"/>
      <c r="P121" s="9"/>
      <c r="Q121" s="10"/>
      <c r="R121" s="14">
        <f t="shared" si="11"/>
        <v>54869</v>
      </c>
      <c r="S121" s="14">
        <f t="shared" si="13"/>
        <v>34588.190551757813</v>
      </c>
      <c r="T121" s="14">
        <f t="shared" si="12"/>
        <v>72233.819091796875</v>
      </c>
      <c r="U121" s="15">
        <f t="shared" si="14"/>
        <v>14676.046004997794</v>
      </c>
      <c r="V121" s="15">
        <f t="shared" si="15"/>
        <v>34437.04792115248</v>
      </c>
      <c r="W121" s="16">
        <f t="shared" si="9"/>
        <v>0.2588281872453338</v>
      </c>
      <c r="X121" s="16">
        <f t="shared" si="10"/>
        <v>0.6938283020968532</v>
      </c>
    </row>
    <row r="122" spans="14:24" x14ac:dyDescent="0.25">
      <c r="N122" s="9"/>
      <c r="O122" s="9"/>
      <c r="P122" s="9"/>
      <c r="Q122" s="10"/>
      <c r="R122" s="14">
        <f t="shared" si="11"/>
        <v>55342</v>
      </c>
      <c r="S122" s="14">
        <f t="shared" si="13"/>
        <v>34886.355987548828</v>
      </c>
      <c r="T122" s="14">
        <f t="shared" si="12"/>
        <v>72856.515808105469</v>
      </c>
      <c r="U122" s="15">
        <f t="shared" si="14"/>
        <v>14508.504157260984</v>
      </c>
      <c r="V122" s="15">
        <f t="shared" si="15"/>
        <v>-307.68520743979798</v>
      </c>
      <c r="W122" s="16">
        <f t="shared" si="9"/>
        <v>0.25587019171340825</v>
      </c>
      <c r="X122" s="16">
        <f t="shared" si="10"/>
        <v>-1.1538015388922665E-2</v>
      </c>
    </row>
    <row r="123" spans="14:24" x14ac:dyDescent="0.25">
      <c r="N123" s="9"/>
      <c r="O123" s="9"/>
      <c r="P123" s="9"/>
      <c r="Q123" s="10"/>
      <c r="R123" s="14">
        <f t="shared" si="11"/>
        <v>55815</v>
      </c>
      <c r="S123" s="14">
        <f t="shared" si="13"/>
        <v>35184.521423339844</v>
      </c>
      <c r="T123" s="14">
        <f t="shared" si="12"/>
        <v>73479.212524414063</v>
      </c>
      <c r="U123" s="15">
        <f t="shared" si="14"/>
        <v>6262.1487214437875</v>
      </c>
      <c r="V123" s="15">
        <f t="shared" si="15"/>
        <v>-35325.588072211496</v>
      </c>
      <c r="W123" s="16">
        <f t="shared" si="9"/>
        <v>0.11027861048568173</v>
      </c>
      <c r="X123" s="16">
        <f t="shared" si="10"/>
        <v>-0.72245005775174109</v>
      </c>
    </row>
    <row r="124" spans="14:24" x14ac:dyDescent="0.25">
      <c r="N124" s="9"/>
      <c r="O124" s="9"/>
      <c r="P124" s="9"/>
      <c r="Q124" s="10"/>
      <c r="R124" s="14">
        <f t="shared" si="11"/>
        <v>56288</v>
      </c>
      <c r="S124" s="14">
        <f t="shared" si="13"/>
        <v>35482.686859130859</v>
      </c>
      <c r="T124" s="14">
        <f t="shared" si="12"/>
        <v>74101.909240722656</v>
      </c>
      <c r="U124" s="15">
        <f t="shared" si="14"/>
        <v>-6124.3760348162032</v>
      </c>
      <c r="V124" s="15">
        <f t="shared" si="15"/>
        <v>-54521.119034160845</v>
      </c>
      <c r="W124" s="16">
        <f t="shared" si="9"/>
        <v>-0.10840875258231114</v>
      </c>
      <c r="X124" s="16">
        <f t="shared" si="10"/>
        <v>-1.1121459848064263</v>
      </c>
    </row>
    <row r="125" spans="14:24" x14ac:dyDescent="0.25">
      <c r="N125" s="9"/>
      <c r="O125" s="9"/>
      <c r="P125" s="9"/>
      <c r="Q125" s="10"/>
      <c r="R125" s="14">
        <f t="shared" si="11"/>
        <v>56761</v>
      </c>
      <c r="S125" s="14">
        <f t="shared" si="13"/>
        <v>35780.852294921875</v>
      </c>
      <c r="T125" s="14">
        <f t="shared" si="12"/>
        <v>74724.60595703125</v>
      </c>
      <c r="U125" s="15">
        <f t="shared" si="14"/>
        <v>-16231.901743160306</v>
      </c>
      <c r="V125" s="15">
        <f t="shared" si="15"/>
        <v>-48907.379989754882</v>
      </c>
      <c r="W125" s="16">
        <f t="shared" si="9"/>
        <v>-0.28685978608810675</v>
      </c>
      <c r="X125" s="16">
        <f t="shared" si="10"/>
        <v>-0.99817928883488116</v>
      </c>
    </row>
    <row r="126" spans="14:24" x14ac:dyDescent="0.25">
      <c r="N126" s="9"/>
      <c r="O126" s="9"/>
      <c r="P126" s="9"/>
      <c r="Q126" s="10"/>
      <c r="R126" s="14">
        <f t="shared" si="11"/>
        <v>57234</v>
      </c>
      <c r="S126" s="14">
        <f t="shared" si="13"/>
        <v>36079.017730712891</v>
      </c>
      <c r="T126" s="14">
        <f t="shared" si="12"/>
        <v>75347.302673339844</v>
      </c>
      <c r="U126" s="15">
        <f t="shared" si="14"/>
        <v>-18426.069347689543</v>
      </c>
      <c r="V126" s="15">
        <f t="shared" si="15"/>
        <v>-20828.28650806957</v>
      </c>
      <c r="W126" s="16">
        <f t="shared" si="9"/>
        <v>-0.32559839413240188</v>
      </c>
      <c r="X126" s="16">
        <f t="shared" si="10"/>
        <v>-0.42813470987058488</v>
      </c>
    </row>
    <row r="127" spans="14:24" x14ac:dyDescent="0.25">
      <c r="N127" s="9"/>
      <c r="O127" s="9"/>
      <c r="P127" s="9"/>
      <c r="Q127" s="10"/>
      <c r="R127" s="14">
        <f t="shared" si="11"/>
        <v>57707</v>
      </c>
      <c r="S127" s="14">
        <f t="shared" si="13"/>
        <v>36377.183166503906</v>
      </c>
      <c r="T127" s="14">
        <f t="shared" si="12"/>
        <v>75969.999389648438</v>
      </c>
      <c r="U127" s="15">
        <f t="shared" si="14"/>
        <v>-10890.115155859068</v>
      </c>
      <c r="V127" s="15">
        <f t="shared" si="15"/>
        <v>17012.409270550521</v>
      </c>
      <c r="W127" s="16">
        <f t="shared" si="9"/>
        <v>-0.19254913432450402</v>
      </c>
      <c r="X127" s="16">
        <f t="shared" si="10"/>
        <v>0.34008394743433124</v>
      </c>
    </row>
    <row r="128" spans="14:24" x14ac:dyDescent="0.25">
      <c r="N128" s="9"/>
      <c r="O128" s="9"/>
      <c r="P128" s="9"/>
      <c r="Q128" s="10"/>
      <c r="R128" s="14">
        <f t="shared" si="11"/>
        <v>58180</v>
      </c>
      <c r="S128" s="14">
        <f t="shared" si="13"/>
        <v>36675.348602294922</v>
      </c>
      <c r="T128" s="14">
        <f t="shared" si="12"/>
        <v>76592.696105957031</v>
      </c>
      <c r="U128" s="15">
        <f t="shared" si="14"/>
        <v>3168.2343952570882</v>
      </c>
      <c r="V128" s="15">
        <f t="shared" si="15"/>
        <v>47317.507007670705</v>
      </c>
      <c r="W128" s="16">
        <f t="shared" si="9"/>
        <v>5.5654736649712509E-2</v>
      </c>
      <c r="X128" s="16">
        <f t="shared" si="10"/>
        <v>0.95531950307277702</v>
      </c>
    </row>
    <row r="129" spans="14:24" x14ac:dyDescent="0.25">
      <c r="N129" s="9"/>
      <c r="O129" s="9"/>
      <c r="P129" s="9"/>
      <c r="Q129" s="10"/>
      <c r="R129" s="14">
        <f t="shared" si="11"/>
        <v>58653</v>
      </c>
      <c r="S129" s="14">
        <f t="shared" si="13"/>
        <v>36973.514038085938</v>
      </c>
      <c r="T129" s="14">
        <f t="shared" si="12"/>
        <v>77215.392822265625</v>
      </c>
      <c r="U129" s="15">
        <f t="shared" si="14"/>
        <v>16862.101805744431</v>
      </c>
      <c r="V129" s="15">
        <f t="shared" si="15"/>
        <v>56132.731737288137</v>
      </c>
      <c r="W129" s="16">
        <f t="shared" si="9"/>
        <v>0.29742357925334351</v>
      </c>
      <c r="X129" s="16">
        <f t="shared" si="10"/>
        <v>1.1342808029718654</v>
      </c>
    </row>
    <row r="130" spans="14:24" x14ac:dyDescent="0.25">
      <c r="N130" s="9"/>
      <c r="O130" s="9"/>
      <c r="P130" s="9"/>
      <c r="Q130" s="10"/>
      <c r="R130" s="14">
        <f t="shared" si="11"/>
        <v>59126</v>
      </c>
      <c r="S130" s="14">
        <f t="shared" si="13"/>
        <v>37271.679473876953</v>
      </c>
      <c r="T130" s="14">
        <f t="shared" si="12"/>
        <v>77838.089538574219</v>
      </c>
      <c r="U130" s="15">
        <f t="shared" si="14"/>
        <v>22969.075559941208</v>
      </c>
      <c r="V130" s="15">
        <f t="shared" si="15"/>
        <v>39298.695420609496</v>
      </c>
      <c r="W130" s="16">
        <f t="shared" si="9"/>
        <v>0.40524381236237439</v>
      </c>
      <c r="X130" s="16">
        <f t="shared" si="10"/>
        <v>0.79252649560186872</v>
      </c>
    </row>
    <row r="131" spans="14:24" x14ac:dyDescent="0.25">
      <c r="N131" s="9"/>
      <c r="O131" s="9"/>
      <c r="P131" s="9"/>
      <c r="Q131" s="10"/>
      <c r="R131" s="14">
        <f t="shared" si="11"/>
        <v>59599</v>
      </c>
      <c r="S131" s="14">
        <f t="shared" si="13"/>
        <v>37569.844909667969</v>
      </c>
      <c r="T131" s="14">
        <f t="shared" si="12"/>
        <v>78460.786254882813</v>
      </c>
      <c r="U131" s="15">
        <f t="shared" si="14"/>
        <v>17661.553124325092</v>
      </c>
      <c r="V131" s="15">
        <f t="shared" si="15"/>
        <v>4423.4500631772426</v>
      </c>
      <c r="W131" s="16">
        <f t="shared" si="9"/>
        <v>0.311538103238231</v>
      </c>
      <c r="X131" s="16">
        <f t="shared" si="10"/>
        <v>8.4510598684787483E-2</v>
      </c>
    </row>
    <row r="132" spans="14:24" x14ac:dyDescent="0.25">
      <c r="N132" s="9"/>
      <c r="O132" s="9"/>
      <c r="P132" s="9"/>
      <c r="Q132" s="10"/>
      <c r="R132" s="14">
        <f t="shared" si="11"/>
        <v>60072</v>
      </c>
      <c r="S132" s="14">
        <f t="shared" si="13"/>
        <v>37868.010345458984</v>
      </c>
      <c r="T132" s="14">
        <f t="shared" si="12"/>
        <v>79083.482971191406</v>
      </c>
      <c r="U132" s="15">
        <f t="shared" si="14"/>
        <v>2726.7283419359956</v>
      </c>
      <c r="V132" s="15">
        <f t="shared" si="15"/>
        <v>-32564.441963858782</v>
      </c>
      <c r="W132" s="16">
        <f t="shared" si="9"/>
        <v>4.7859830775847413E-2</v>
      </c>
      <c r="X132" s="16">
        <f t="shared" si="10"/>
        <v>-0.6663949585434471</v>
      </c>
    </row>
    <row r="133" spans="14:24" x14ac:dyDescent="0.25">
      <c r="N133" s="9"/>
      <c r="O133" s="9"/>
      <c r="P133" s="9"/>
      <c r="Q133" s="10"/>
      <c r="R133" s="14">
        <f t="shared" si="11"/>
        <v>60545</v>
      </c>
      <c r="S133" s="14">
        <f t="shared" si="13"/>
        <v>38166.17578125</v>
      </c>
      <c r="T133" s="14">
        <f t="shared" si="12"/>
        <v>79706.1796875</v>
      </c>
      <c r="U133" s="15">
        <f t="shared" si="14"/>
        <v>-14952.976138177868</v>
      </c>
      <c r="V133" s="15">
        <f t="shared" si="15"/>
        <v>-54717.359518415942</v>
      </c>
      <c r="W133" s="16">
        <f t="shared" ref="W133:W196" si="16">(U133-$W$1)/$W$2</f>
        <v>-0.26428001705544102</v>
      </c>
      <c r="X133" s="16">
        <f t="shared" ref="X133:X196" si="17">(V133-$X$1)/$X$2</f>
        <v>-1.1161299390710435</v>
      </c>
    </row>
    <row r="134" spans="14:24" x14ac:dyDescent="0.25">
      <c r="N134" s="9"/>
      <c r="O134" s="9"/>
      <c r="P134" s="9"/>
      <c r="Q134" s="10"/>
      <c r="R134" s="14">
        <f t="shared" ref="R134:R197" si="18">R133+a_inc</f>
        <v>61018</v>
      </c>
      <c r="S134" s="14">
        <f t="shared" si="13"/>
        <v>38464.341217041016</v>
      </c>
      <c r="T134" s="14">
        <f t="shared" ref="T134:T197" si="19">T133+t_inc</f>
        <v>80328.876403808594</v>
      </c>
      <c r="U134" s="15">
        <f t="shared" si="14"/>
        <v>-26560.324196700174</v>
      </c>
      <c r="V134" s="15">
        <f t="shared" si="15"/>
        <v>-51866.350164536125</v>
      </c>
      <c r="W134" s="16">
        <f t="shared" si="16"/>
        <v>-0.46921080991949798</v>
      </c>
      <c r="X134" s="16">
        <f t="shared" si="17"/>
        <v>-1.0582504912243482</v>
      </c>
    </row>
    <row r="135" spans="14:24" x14ac:dyDescent="0.25">
      <c r="N135" s="9"/>
      <c r="O135" s="9"/>
      <c r="P135" s="9"/>
      <c r="Q135" s="10"/>
      <c r="R135" s="14">
        <f t="shared" si="18"/>
        <v>61491</v>
      </c>
      <c r="S135" s="14">
        <f t="shared" ref="S135:S198" si="20">S134+b_inc</f>
        <v>38762.506652832031</v>
      </c>
      <c r="T135" s="14">
        <f t="shared" si="19"/>
        <v>80951.573120117188</v>
      </c>
      <c r="U135" s="15">
        <f t="shared" si="14"/>
        <v>-25698.081670909902</v>
      </c>
      <c r="V135" s="15">
        <f t="shared" si="15"/>
        <v>-25313.062931513392</v>
      </c>
      <c r="W135" s="16">
        <f t="shared" si="16"/>
        <v>-0.45398769060228483</v>
      </c>
      <c r="X135" s="16">
        <f t="shared" si="17"/>
        <v>-0.51918189733475772</v>
      </c>
    </row>
    <row r="136" spans="14:24" x14ac:dyDescent="0.25">
      <c r="N136" s="9"/>
      <c r="O136" s="9"/>
      <c r="P136" s="9"/>
      <c r="Q136" s="10"/>
      <c r="R136" s="14">
        <f t="shared" si="18"/>
        <v>61964</v>
      </c>
      <c r="S136" s="14">
        <f t="shared" si="20"/>
        <v>39060.672088623047</v>
      </c>
      <c r="T136" s="14">
        <f t="shared" si="19"/>
        <v>81574.269836425781</v>
      </c>
      <c r="U136" s="15">
        <f t="shared" si="14"/>
        <v>-11803.945181654104</v>
      </c>
      <c r="V136" s="15">
        <f t="shared" si="15"/>
        <v>12759.816549310974</v>
      </c>
      <c r="W136" s="16">
        <f t="shared" si="16"/>
        <v>-0.20868304456696116</v>
      </c>
      <c r="X136" s="16">
        <f t="shared" si="17"/>
        <v>0.25375041145793653</v>
      </c>
    </row>
    <row r="137" spans="14:24" x14ac:dyDescent="0.25">
      <c r="N137" s="9"/>
      <c r="O137" s="9"/>
      <c r="P137" s="9"/>
      <c r="Q137" s="10"/>
      <c r="R137" s="14">
        <f t="shared" si="18"/>
        <v>62437</v>
      </c>
      <c r="S137" s="14">
        <f t="shared" si="20"/>
        <v>39358.837524414063</v>
      </c>
      <c r="T137" s="14">
        <f t="shared" si="19"/>
        <v>82196.966552734375</v>
      </c>
      <c r="U137" s="15">
        <f t="shared" si="14"/>
        <v>9157.0325626987615</v>
      </c>
      <c r="V137" s="15">
        <f t="shared" si="15"/>
        <v>44895.197576508515</v>
      </c>
      <c r="W137" s="16">
        <f t="shared" si="16"/>
        <v>0.16138854859097998</v>
      </c>
      <c r="X137" s="16">
        <f t="shared" si="17"/>
        <v>0.90614325880731517</v>
      </c>
    </row>
    <row r="138" spans="14:24" x14ac:dyDescent="0.25">
      <c r="N138" s="9"/>
      <c r="O138" s="9"/>
      <c r="P138" s="9"/>
      <c r="Q138" s="10"/>
      <c r="R138" s="14">
        <f t="shared" si="18"/>
        <v>62910</v>
      </c>
      <c r="S138" s="14">
        <f t="shared" si="20"/>
        <v>39657.002960205078</v>
      </c>
      <c r="T138" s="14">
        <f t="shared" si="19"/>
        <v>82819.663269042969</v>
      </c>
      <c r="U138" s="15">
        <f t="shared" si="14"/>
        <v>27238.073750349795</v>
      </c>
      <c r="V138" s="15">
        <f t="shared" si="15"/>
        <v>56397.908133648612</v>
      </c>
      <c r="W138" s="16">
        <f t="shared" si="16"/>
        <v>0.48061410189662568</v>
      </c>
      <c r="X138" s="16">
        <f t="shared" si="17"/>
        <v>1.1396642519536913</v>
      </c>
    </row>
    <row r="139" spans="14:24" x14ac:dyDescent="0.25">
      <c r="N139" s="9"/>
      <c r="O139" s="9"/>
      <c r="P139" s="9"/>
      <c r="Q139" s="10"/>
      <c r="R139" s="14">
        <f t="shared" si="18"/>
        <v>63383</v>
      </c>
      <c r="S139" s="14">
        <f t="shared" si="20"/>
        <v>39955.168395996094</v>
      </c>
      <c r="T139" s="14">
        <f t="shared" si="19"/>
        <v>83442.359985351563</v>
      </c>
      <c r="U139" s="15">
        <f t="shared" si="14"/>
        <v>33215.819541174911</v>
      </c>
      <c r="V139" s="15">
        <f t="shared" si="15"/>
        <v>42087.363625845872</v>
      </c>
      <c r="W139" s="16">
        <f t="shared" si="16"/>
        <v>0.58615278121228021</v>
      </c>
      <c r="X139" s="16">
        <f t="shared" si="17"/>
        <v>0.84914033158492686</v>
      </c>
    </row>
    <row r="140" spans="14:24" x14ac:dyDescent="0.25">
      <c r="N140" s="9"/>
      <c r="O140" s="9"/>
      <c r="P140" s="9"/>
      <c r="Q140" s="10"/>
      <c r="R140" s="14">
        <f t="shared" si="18"/>
        <v>63856</v>
      </c>
      <c r="S140" s="14">
        <f t="shared" si="20"/>
        <v>40253.333831787109</v>
      </c>
      <c r="T140" s="14">
        <f t="shared" si="19"/>
        <v>84065.056701660156</v>
      </c>
      <c r="U140" s="15">
        <f t="shared" si="14"/>
        <v>23235.278938553838</v>
      </c>
      <c r="V140" s="15">
        <f t="shared" si="15"/>
        <v>8649.0666862924791</v>
      </c>
      <c r="W140" s="16">
        <f t="shared" si="16"/>
        <v>0.40994370325623997</v>
      </c>
      <c r="X140" s="16">
        <f t="shared" si="17"/>
        <v>0.1702964824192249</v>
      </c>
    </row>
    <row r="141" spans="14:24" x14ac:dyDescent="0.25">
      <c r="N141" s="9"/>
      <c r="O141" s="9"/>
      <c r="P141" s="9"/>
      <c r="Q141" s="10"/>
      <c r="R141" s="14">
        <f t="shared" si="18"/>
        <v>64329</v>
      </c>
      <c r="S141" s="14">
        <f t="shared" si="20"/>
        <v>40551.499267578125</v>
      </c>
      <c r="T141" s="14">
        <f t="shared" si="19"/>
        <v>84687.75341796875</v>
      </c>
      <c r="U141" s="15">
        <f t="shared" si="14"/>
        <v>1078.4885601103524</v>
      </c>
      <c r="V141" s="15">
        <f t="shared" si="15"/>
        <v>-28491.039088889476</v>
      </c>
      <c r="W141" s="16">
        <f t="shared" si="16"/>
        <v>1.8759722498176767E-2</v>
      </c>
      <c r="X141" s="16">
        <f t="shared" si="17"/>
        <v>-0.58369922520973472</v>
      </c>
    </row>
    <row r="142" spans="14:24" x14ac:dyDescent="0.25">
      <c r="N142" s="9"/>
      <c r="O142" s="9"/>
      <c r="P142" s="9"/>
      <c r="Q142" s="10"/>
      <c r="R142" s="14">
        <f t="shared" si="18"/>
        <v>64802</v>
      </c>
      <c r="S142" s="14">
        <f t="shared" si="20"/>
        <v>40849.664703369141</v>
      </c>
      <c r="T142" s="14">
        <f t="shared" si="19"/>
        <v>85310.450134277344</v>
      </c>
      <c r="U142" s="15">
        <f t="shared" si="14"/>
        <v>-23209.764197162265</v>
      </c>
      <c r="V142" s="15">
        <f t="shared" si="15"/>
        <v>-52307.456681904805</v>
      </c>
      <c r="W142" s="16">
        <f t="shared" si="16"/>
        <v>-0.41005578899809464</v>
      </c>
      <c r="X142" s="16">
        <f t="shared" si="17"/>
        <v>-1.0672055659006672</v>
      </c>
    </row>
    <row r="143" spans="14:24" x14ac:dyDescent="0.25">
      <c r="N143" s="9"/>
      <c r="O143" s="9"/>
      <c r="P143" s="9"/>
      <c r="Q143" s="10"/>
      <c r="R143" s="14">
        <f t="shared" si="18"/>
        <v>65275</v>
      </c>
      <c r="S143" s="14">
        <f t="shared" si="20"/>
        <v>41147.830139160156</v>
      </c>
      <c r="T143" s="14">
        <f t="shared" si="19"/>
        <v>85933.146850585938</v>
      </c>
      <c r="U143" s="15">
        <f t="shared" si="14"/>
        <v>-37872.782840639418</v>
      </c>
      <c r="V143" s="15">
        <f t="shared" si="15"/>
        <v>-52015.294235004905</v>
      </c>
      <c r="W143" s="16">
        <f t="shared" si="16"/>
        <v>-0.6689352523550991</v>
      </c>
      <c r="X143" s="16">
        <f t="shared" si="17"/>
        <v>-1.0612742626290406</v>
      </c>
    </row>
    <row r="144" spans="14:24" x14ac:dyDescent="0.25">
      <c r="N144" s="9"/>
      <c r="O144" s="9"/>
      <c r="P144" s="9"/>
      <c r="Q144" s="10"/>
      <c r="R144" s="14">
        <f t="shared" si="18"/>
        <v>65748</v>
      </c>
      <c r="S144" s="14">
        <f t="shared" si="20"/>
        <v>41445.995574951172</v>
      </c>
      <c r="T144" s="14">
        <f t="shared" si="19"/>
        <v>86555.843566894531</v>
      </c>
      <c r="U144" s="15">
        <f t="shared" si="14"/>
        <v>-35108.971164133574</v>
      </c>
      <c r="V144" s="15">
        <f t="shared" si="15"/>
        <v>-27983.829857091725</v>
      </c>
      <c r="W144" s="16">
        <f t="shared" si="16"/>
        <v>-0.62013942790513543</v>
      </c>
      <c r="X144" s="16">
        <f t="shared" si="17"/>
        <v>-0.57340217366227153</v>
      </c>
    </row>
    <row r="145" spans="14:24" x14ac:dyDescent="0.25">
      <c r="N145" s="9"/>
      <c r="O145" s="9"/>
      <c r="P145" s="9"/>
      <c r="Q145" s="10"/>
      <c r="R145" s="14">
        <f t="shared" si="18"/>
        <v>66221</v>
      </c>
      <c r="S145" s="14">
        <f t="shared" si="20"/>
        <v>41744.161010742188</v>
      </c>
      <c r="T145" s="14">
        <f t="shared" si="19"/>
        <v>87178.540283203125</v>
      </c>
      <c r="U145" s="15">
        <f t="shared" si="14"/>
        <v>-15132.772618404011</v>
      </c>
      <c r="V145" s="15">
        <f t="shared" si="15"/>
        <v>8528.659818250273</v>
      </c>
      <c r="W145" s="16">
        <f t="shared" si="16"/>
        <v>-0.26745437135765887</v>
      </c>
      <c r="X145" s="16">
        <f t="shared" si="17"/>
        <v>0.16785205584105573</v>
      </c>
    </row>
    <row r="146" spans="14:24" x14ac:dyDescent="0.25">
      <c r="N146" s="9"/>
      <c r="O146" s="9"/>
      <c r="P146" s="9"/>
      <c r="Q146" s="10"/>
      <c r="R146" s="14">
        <f t="shared" si="18"/>
        <v>66694</v>
      </c>
      <c r="S146" s="14">
        <f t="shared" si="20"/>
        <v>42042.326446533203</v>
      </c>
      <c r="T146" s="14">
        <f t="shared" si="19"/>
        <v>87801.236999511719</v>
      </c>
      <c r="U146" s="15">
        <f t="shared" si="14"/>
        <v>13450.58864303816</v>
      </c>
      <c r="V146" s="15">
        <f t="shared" si="15"/>
        <v>40658.851487924039</v>
      </c>
      <c r="W146" s="16">
        <f t="shared" si="16"/>
        <v>0.23719241415217693</v>
      </c>
      <c r="X146" s="16">
        <f t="shared" si="17"/>
        <v>0.82013955202848654</v>
      </c>
    </row>
    <row r="147" spans="14:24" x14ac:dyDescent="0.25">
      <c r="N147" s="9"/>
      <c r="O147" s="9"/>
      <c r="P147" s="9"/>
      <c r="Q147" s="10"/>
      <c r="R147" s="14">
        <f t="shared" si="18"/>
        <v>67167</v>
      </c>
      <c r="S147" s="14">
        <f t="shared" si="20"/>
        <v>42340.491882324219</v>
      </c>
      <c r="T147" s="14">
        <f t="shared" si="19"/>
        <v>88423.933715820313</v>
      </c>
      <c r="U147" s="15">
        <f t="shared" si="14"/>
        <v>37341.984243241008</v>
      </c>
      <c r="V147" s="15">
        <f t="shared" si="15"/>
        <v>53757.402085345413</v>
      </c>
      <c r="W147" s="16">
        <f t="shared" si="16"/>
        <v>0.65900130781963495</v>
      </c>
      <c r="X147" s="16">
        <f t="shared" si="17"/>
        <v>1.0860583134450479</v>
      </c>
    </row>
    <row r="148" spans="14:24" x14ac:dyDescent="0.25">
      <c r="N148" s="9"/>
      <c r="O148" s="9"/>
      <c r="P148" s="9"/>
      <c r="Q148" s="10"/>
      <c r="R148" s="14">
        <f t="shared" si="18"/>
        <v>67640</v>
      </c>
      <c r="S148" s="14">
        <f t="shared" si="20"/>
        <v>42638.657318115234</v>
      </c>
      <c r="T148" s="14">
        <f t="shared" si="19"/>
        <v>89046.630432128906</v>
      </c>
      <c r="U148" s="15">
        <f t="shared" si="14"/>
        <v>44733.960681557321</v>
      </c>
      <c r="V148" s="15">
        <f t="shared" si="15"/>
        <v>42104.480700910615</v>
      </c>
      <c r="W148" s="16">
        <f t="shared" si="16"/>
        <v>0.78950860239708731</v>
      </c>
      <c r="X148" s="16">
        <f t="shared" si="17"/>
        <v>0.8494878319718161</v>
      </c>
    </row>
    <row r="149" spans="14:24" x14ac:dyDescent="0.25">
      <c r="N149" s="9"/>
      <c r="O149" s="9"/>
      <c r="P149" s="9"/>
      <c r="Q149" s="10"/>
      <c r="R149" s="14">
        <f t="shared" si="18"/>
        <v>68113</v>
      </c>
      <c r="S149" s="14">
        <f t="shared" si="20"/>
        <v>42936.82275390625</v>
      </c>
      <c r="T149" s="14">
        <f t="shared" si="19"/>
        <v>89669.3271484375</v>
      </c>
      <c r="U149" s="15">
        <f t="shared" si="14"/>
        <v>31108.755489004401</v>
      </c>
      <c r="V149" s="15">
        <f t="shared" si="15"/>
        <v>11427.153773512746</v>
      </c>
      <c r="W149" s="16">
        <f t="shared" si="16"/>
        <v>0.54895200936934241</v>
      </c>
      <c r="X149" s="16">
        <f t="shared" si="17"/>
        <v>0.22669550701713637</v>
      </c>
    </row>
    <row r="150" spans="14:24" x14ac:dyDescent="0.25">
      <c r="N150" s="9"/>
      <c r="O150" s="9"/>
      <c r="P150" s="9"/>
      <c r="Q150" s="10"/>
      <c r="R150" s="14">
        <f t="shared" si="18"/>
        <v>68586</v>
      </c>
      <c r="S150" s="14">
        <f t="shared" si="20"/>
        <v>43234.988189697266</v>
      </c>
      <c r="T150" s="14">
        <f t="shared" si="19"/>
        <v>90292.023864746094</v>
      </c>
      <c r="U150" s="15">
        <f t="shared" si="14"/>
        <v>1816.36060717285</v>
      </c>
      <c r="V150" s="15">
        <f t="shared" si="15"/>
        <v>-23898.924212351092</v>
      </c>
      <c r="W150" s="16">
        <f t="shared" si="16"/>
        <v>3.1787048195170878E-2</v>
      </c>
      <c r="X150" s="16">
        <f t="shared" si="17"/>
        <v>-0.49047291813328248</v>
      </c>
    </row>
    <row r="151" spans="14:24" x14ac:dyDescent="0.25">
      <c r="N151" s="9"/>
      <c r="O151" s="9"/>
      <c r="P151" s="9"/>
      <c r="Q151" s="10"/>
      <c r="R151" s="14">
        <f t="shared" si="18"/>
        <v>69059</v>
      </c>
      <c r="S151" s="14">
        <f t="shared" si="20"/>
        <v>43533.153625488281</v>
      </c>
      <c r="T151" s="14">
        <f t="shared" si="19"/>
        <v>90914.720581054688</v>
      </c>
      <c r="U151" s="15">
        <f t="shared" si="14"/>
        <v>-29978.049026552577</v>
      </c>
      <c r="V151" s="15">
        <f t="shared" si="15"/>
        <v>-47603.215951041493</v>
      </c>
      <c r="W151" s="16">
        <f t="shared" si="16"/>
        <v>-0.52955164364323426</v>
      </c>
      <c r="X151" s="16">
        <f t="shared" si="17"/>
        <v>-0.97170294832076676</v>
      </c>
    </row>
    <row r="152" spans="14:24" x14ac:dyDescent="0.25">
      <c r="N152" s="9"/>
      <c r="O152" s="9"/>
      <c r="P152" s="9"/>
      <c r="Q152" s="10"/>
      <c r="R152" s="14">
        <f t="shared" si="18"/>
        <v>69532</v>
      </c>
      <c r="S152" s="14">
        <f t="shared" si="20"/>
        <v>43831.319061279297</v>
      </c>
      <c r="T152" s="14">
        <f t="shared" si="19"/>
        <v>91537.417297363281</v>
      </c>
      <c r="U152" s="15">
        <f t="shared" si="14"/>
        <v>-49215.80056062316</v>
      </c>
      <c r="V152" s="15">
        <f t="shared" si="15"/>
        <v>-49049.523394154727</v>
      </c>
      <c r="W152" s="16">
        <f t="shared" si="16"/>
        <v>-0.8691992233420468</v>
      </c>
      <c r="X152" s="16">
        <f t="shared" si="17"/>
        <v>-1.0010649972772321</v>
      </c>
    </row>
    <row r="153" spans="14:24" x14ac:dyDescent="0.25">
      <c r="N153" s="9"/>
      <c r="O153" s="9"/>
      <c r="P153" s="9"/>
      <c r="Q153" s="10"/>
      <c r="R153" s="14">
        <f t="shared" si="18"/>
        <v>70005</v>
      </c>
      <c r="S153" s="14">
        <f t="shared" si="20"/>
        <v>44129.484497070313</v>
      </c>
      <c r="T153" s="14">
        <f t="shared" si="19"/>
        <v>92160.114013671875</v>
      </c>
      <c r="U153" s="15">
        <f t="shared" si="14"/>
        <v>-46070.004216296278</v>
      </c>
      <c r="V153" s="15">
        <f t="shared" si="15"/>
        <v>-28041.286986918185</v>
      </c>
      <c r="W153" s="16">
        <f t="shared" si="16"/>
        <v>-0.81365935878543671</v>
      </c>
      <c r="X153" s="16">
        <f t="shared" si="17"/>
        <v>-0.57456863316360063</v>
      </c>
    </row>
    <row r="154" spans="14:24" x14ac:dyDescent="0.25">
      <c r="N154" s="9"/>
      <c r="O154" s="9"/>
      <c r="P154" s="9"/>
      <c r="Q154" s="10"/>
      <c r="R154" s="14">
        <f t="shared" si="18"/>
        <v>70478</v>
      </c>
      <c r="S154" s="14">
        <f t="shared" si="20"/>
        <v>44427.649932861328</v>
      </c>
      <c r="T154" s="14">
        <f t="shared" si="19"/>
        <v>92782.810729980469</v>
      </c>
      <c r="U154" s="15">
        <f t="shared" si="14"/>
        <v>-20905.527151086888</v>
      </c>
      <c r="V154" s="15">
        <f t="shared" si="15"/>
        <v>5282.9921027191413</v>
      </c>
      <c r="W154" s="16">
        <f t="shared" si="16"/>
        <v>-0.36937387591871074</v>
      </c>
      <c r="X154" s="16">
        <f t="shared" si="17"/>
        <v>0.10196049536155746</v>
      </c>
    </row>
    <row r="155" spans="14:24" x14ac:dyDescent="0.25">
      <c r="N155" s="9"/>
      <c r="O155" s="9"/>
      <c r="P155" s="9"/>
      <c r="Q155" s="10"/>
      <c r="R155" s="14">
        <f t="shared" si="18"/>
        <v>70951</v>
      </c>
      <c r="S155" s="14">
        <f t="shared" si="20"/>
        <v>44725.815368652344</v>
      </c>
      <c r="T155" s="14">
        <f t="shared" si="19"/>
        <v>93405.507446289063</v>
      </c>
      <c r="U155" s="15">
        <f t="shared" si="14"/>
        <v>15406.704095511845</v>
      </c>
      <c r="V155" s="15">
        <f t="shared" si="15"/>
        <v>35335.49218441439</v>
      </c>
      <c r="W155" s="16">
        <f t="shared" si="16"/>
        <v>0.27172814863588113</v>
      </c>
      <c r="X155" s="16">
        <f t="shared" si="17"/>
        <v>0.71206796792182281</v>
      </c>
    </row>
    <row r="156" spans="14:24" x14ac:dyDescent="0.25">
      <c r="N156" s="9"/>
      <c r="O156" s="9"/>
      <c r="P156" s="9"/>
      <c r="Q156" s="10"/>
      <c r="R156" s="14">
        <f t="shared" si="18"/>
        <v>71424</v>
      </c>
      <c r="S156" s="14">
        <f t="shared" si="20"/>
        <v>45023.980804443359</v>
      </c>
      <c r="T156" s="14">
        <f t="shared" si="19"/>
        <v>94028.204162597656</v>
      </c>
      <c r="U156" s="15">
        <f t="shared" si="14"/>
        <v>46181.57253248636</v>
      </c>
      <c r="V156" s="15">
        <f t="shared" si="15"/>
        <v>48394.862136473945</v>
      </c>
      <c r="W156" s="16">
        <f t="shared" si="16"/>
        <v>0.81506657161405072</v>
      </c>
      <c r="X156" s="16">
        <f t="shared" si="17"/>
        <v>0.97719130784433217</v>
      </c>
    </row>
    <row r="157" spans="14:24" x14ac:dyDescent="0.25">
      <c r="N157" s="9"/>
      <c r="O157" s="9"/>
      <c r="P157" s="9"/>
      <c r="Q157" s="10"/>
      <c r="R157" s="14">
        <f t="shared" si="18"/>
        <v>71897</v>
      </c>
      <c r="S157" s="14">
        <f t="shared" si="20"/>
        <v>45322.146240234375</v>
      </c>
      <c r="T157" s="14">
        <f t="shared" si="19"/>
        <v>94650.90087890625</v>
      </c>
      <c r="U157" s="15">
        <f t="shared" si="14"/>
        <v>56595.412801831815</v>
      </c>
      <c r="V157" s="15">
        <f t="shared" si="15"/>
        <v>38908.408718270912</v>
      </c>
      <c r="W157" s="16">
        <f t="shared" si="16"/>
        <v>0.99892566952312956</v>
      </c>
      <c r="X157" s="16">
        <f t="shared" si="17"/>
        <v>0.78460313372214585</v>
      </c>
    </row>
    <row r="158" spans="14:24" x14ac:dyDescent="0.25">
      <c r="N158" s="9"/>
      <c r="O158" s="9"/>
      <c r="P158" s="9"/>
      <c r="Q158" s="10"/>
      <c r="R158" s="14">
        <f t="shared" si="18"/>
        <v>72370</v>
      </c>
      <c r="S158" s="14">
        <f t="shared" si="20"/>
        <v>45620.311676025391</v>
      </c>
      <c r="T158" s="14">
        <f t="shared" si="19"/>
        <v>95273.597595214844</v>
      </c>
      <c r="U158" s="15">
        <f t="shared" si="14"/>
        <v>40810.37127660244</v>
      </c>
      <c r="V158" s="15">
        <f t="shared" si="15"/>
        <v>11869.665775063879</v>
      </c>
      <c r="W158" s="16">
        <f t="shared" si="16"/>
        <v>0.72023659611482027</v>
      </c>
      <c r="X158" s="16">
        <f t="shared" si="17"/>
        <v>0.2356791149735469</v>
      </c>
    </row>
    <row r="159" spans="14:24" x14ac:dyDescent="0.25">
      <c r="N159" s="9"/>
      <c r="O159" s="9"/>
      <c r="P159" s="9"/>
      <c r="Q159" s="10"/>
      <c r="R159" s="14">
        <f t="shared" si="18"/>
        <v>72843</v>
      </c>
      <c r="S159" s="14">
        <f t="shared" si="20"/>
        <v>45918.477111816406</v>
      </c>
      <c r="T159" s="14">
        <f t="shared" si="19"/>
        <v>95896.294311523438</v>
      </c>
      <c r="U159" s="15">
        <f t="shared" si="14"/>
        <v>5129.6615097587419</v>
      </c>
      <c r="V159" s="15">
        <f t="shared" si="15"/>
        <v>-19755.228309342907</v>
      </c>
      <c r="W159" s="16">
        <f t="shared" si="16"/>
        <v>9.0284249928136162E-2</v>
      </c>
      <c r="X159" s="16">
        <f t="shared" si="17"/>
        <v>-0.40635013874487158</v>
      </c>
    </row>
    <row r="160" spans="14:24" x14ac:dyDescent="0.25">
      <c r="N160" s="9"/>
      <c r="O160" s="9"/>
      <c r="P160" s="9"/>
      <c r="Q160" s="10"/>
      <c r="R160" s="14">
        <f t="shared" si="18"/>
        <v>73316</v>
      </c>
      <c r="S160" s="14">
        <f t="shared" si="20"/>
        <v>46216.642547607422</v>
      </c>
      <c r="T160" s="14">
        <f t="shared" si="19"/>
        <v>96518.991027832031</v>
      </c>
      <c r="U160" s="15">
        <f t="shared" si="14"/>
        <v>-34479.623625462162</v>
      </c>
      <c r="V160" s="15">
        <f t="shared" si="15"/>
        <v>-41246.923255249705</v>
      </c>
      <c r="W160" s="16">
        <f t="shared" si="16"/>
        <v>-0.60902813104070808</v>
      </c>
      <c r="X160" s="16">
        <f t="shared" si="17"/>
        <v>-0.84266138236316857</v>
      </c>
    </row>
    <row r="161" spans="14:24" x14ac:dyDescent="0.25">
      <c r="N161" s="9"/>
      <c r="O161" s="9"/>
      <c r="P161" s="9"/>
      <c r="Q161" s="10"/>
      <c r="R161" s="14">
        <f t="shared" si="18"/>
        <v>73789</v>
      </c>
      <c r="S161" s="14">
        <f t="shared" si="20"/>
        <v>46514.807983398438</v>
      </c>
      <c r="T161" s="14">
        <f t="shared" si="19"/>
        <v>97141.687744140625</v>
      </c>
      <c r="U161" s="15">
        <f t="shared" si="14"/>
        <v>-59543.751274284528</v>
      </c>
      <c r="V161" s="15">
        <f t="shared" si="15"/>
        <v>-43014.546671314398</v>
      </c>
      <c r="W161" s="16">
        <f t="shared" si="16"/>
        <v>-1.0515419184814028</v>
      </c>
      <c r="X161" s="16">
        <f t="shared" si="17"/>
        <v>-0.87854659164299287</v>
      </c>
    </row>
    <row r="162" spans="14:24" x14ac:dyDescent="0.25">
      <c r="N162" s="9"/>
      <c r="O162" s="9"/>
      <c r="P162" s="9"/>
      <c r="Q162" s="10"/>
      <c r="R162" s="14">
        <f t="shared" si="18"/>
        <v>74262</v>
      </c>
      <c r="S162" s="14">
        <f t="shared" si="20"/>
        <v>46812.973419189453</v>
      </c>
      <c r="T162" s="14">
        <f t="shared" si="19"/>
        <v>97764.384460449219</v>
      </c>
      <c r="U162" s="15">
        <f t="shared" si="14"/>
        <v>-57706.269613941135</v>
      </c>
      <c r="V162" s="15">
        <f t="shared" si="15"/>
        <v>-24909.279553350007</v>
      </c>
      <c r="W162" s="16">
        <f t="shared" si="16"/>
        <v>-1.0191006949022698</v>
      </c>
      <c r="X162" s="16">
        <f t="shared" si="17"/>
        <v>-0.51098453419879819</v>
      </c>
    </row>
    <row r="163" spans="14:24" x14ac:dyDescent="0.25">
      <c r="N163" s="9"/>
      <c r="O163" s="9"/>
      <c r="P163" s="9"/>
      <c r="Q163" s="10"/>
      <c r="R163" s="14">
        <f t="shared" si="18"/>
        <v>74735</v>
      </c>
      <c r="S163" s="14">
        <f t="shared" si="20"/>
        <v>47111.138854980469</v>
      </c>
      <c r="T163" s="14">
        <f t="shared" si="19"/>
        <v>98387.081176757813</v>
      </c>
      <c r="U163" s="15">
        <f t="shared" si="14"/>
        <v>-28789.155380496559</v>
      </c>
      <c r="V163" s="15">
        <f t="shared" si="15"/>
        <v>3985.6207371418313</v>
      </c>
      <c r="W163" s="16">
        <f t="shared" si="16"/>
        <v>-0.50856141260261212</v>
      </c>
      <c r="X163" s="16">
        <f t="shared" si="17"/>
        <v>7.5622055542151179E-2</v>
      </c>
    </row>
    <row r="164" spans="14:24" x14ac:dyDescent="0.25">
      <c r="N164" s="9"/>
      <c r="O164" s="9"/>
      <c r="P164" s="9"/>
      <c r="Q164" s="10"/>
      <c r="R164" s="14">
        <f t="shared" si="18"/>
        <v>75208</v>
      </c>
      <c r="S164" s="14">
        <f t="shared" si="20"/>
        <v>47409.304290771484</v>
      </c>
      <c r="T164" s="14">
        <f t="shared" si="19"/>
        <v>99009.777893066406</v>
      </c>
      <c r="U164" s="15">
        <f t="shared" si="14"/>
        <v>14669.944747257177</v>
      </c>
      <c r="V164" s="15">
        <f t="shared" si="15"/>
        <v>29875.404042476643</v>
      </c>
      <c r="W164" s="16">
        <f t="shared" si="16"/>
        <v>0.25872046792995285</v>
      </c>
      <c r="X164" s="16">
        <f t="shared" si="17"/>
        <v>0.6012205985788992</v>
      </c>
    </row>
    <row r="165" spans="14:24" x14ac:dyDescent="0.25">
      <c r="N165" s="9"/>
      <c r="O165" s="9"/>
      <c r="P165" s="9"/>
      <c r="Q165" s="10"/>
      <c r="R165" s="14">
        <f t="shared" si="18"/>
        <v>75681</v>
      </c>
      <c r="S165" s="14">
        <f t="shared" si="20"/>
        <v>47707.4697265625</v>
      </c>
      <c r="T165" s="14">
        <f t="shared" si="19"/>
        <v>99632.474609375</v>
      </c>
      <c r="U165" s="15">
        <f t="shared" ref="U165:U228" si="21">(R165-S165)*COS(T165)+S165*COS((R165/S165-1)*T165)</f>
        <v>52855.295716616783</v>
      </c>
      <c r="V165" s="15">
        <f t="shared" ref="V165:V228" si="22">(R165-S165)*SIN(T165)-S165*SIN((R165/S165-1)*T165)</f>
        <v>40850.088924221141</v>
      </c>
      <c r="W165" s="16">
        <f t="shared" si="16"/>
        <v>0.93289291545965758</v>
      </c>
      <c r="X165" s="16">
        <f t="shared" si="17"/>
        <v>0.82402193747398877</v>
      </c>
    </row>
    <row r="166" spans="14:24" x14ac:dyDescent="0.25">
      <c r="N166" s="9"/>
      <c r="O166" s="9"/>
      <c r="P166" s="9"/>
      <c r="Q166" s="10"/>
      <c r="R166" s="14">
        <f t="shared" si="18"/>
        <v>76154</v>
      </c>
      <c r="S166" s="14">
        <f t="shared" si="20"/>
        <v>48005.635162353516</v>
      </c>
      <c r="T166" s="14">
        <f t="shared" si="19"/>
        <v>100255.17132568359</v>
      </c>
      <c r="U166" s="15">
        <f t="shared" si="21"/>
        <v>67727.033825872059</v>
      </c>
      <c r="V166" s="15">
        <f t="shared" si="22"/>
        <v>32398.280662141806</v>
      </c>
      <c r="W166" s="16">
        <f t="shared" si="16"/>
        <v>1.1954573760608576</v>
      </c>
      <c r="X166" s="16">
        <f t="shared" si="17"/>
        <v>0.65243849638510631</v>
      </c>
    </row>
    <row r="167" spans="14:24" x14ac:dyDescent="0.25">
      <c r="N167" s="9"/>
      <c r="O167" s="9"/>
      <c r="P167" s="9"/>
      <c r="Q167" s="10"/>
      <c r="R167" s="14">
        <f t="shared" si="18"/>
        <v>76627</v>
      </c>
      <c r="S167" s="14">
        <f t="shared" si="20"/>
        <v>48303.800598144531</v>
      </c>
      <c r="T167" s="14">
        <f t="shared" si="19"/>
        <v>100877.86804199219</v>
      </c>
      <c r="U167" s="15">
        <f t="shared" si="21"/>
        <v>51546.426855091922</v>
      </c>
      <c r="V167" s="15">
        <f t="shared" si="22"/>
        <v>9270.7395630932806</v>
      </c>
      <c r="W167" s="16">
        <f t="shared" si="16"/>
        <v>0.9097844903314537</v>
      </c>
      <c r="X167" s="16">
        <f t="shared" si="17"/>
        <v>0.18291730486638055</v>
      </c>
    </row>
    <row r="168" spans="14:24" x14ac:dyDescent="0.25">
      <c r="N168" s="9"/>
      <c r="O168" s="9"/>
      <c r="P168" s="9"/>
      <c r="Q168" s="10"/>
      <c r="R168" s="14">
        <f t="shared" si="18"/>
        <v>77100</v>
      </c>
      <c r="S168" s="14">
        <f t="shared" si="20"/>
        <v>48601.966033935547</v>
      </c>
      <c r="T168" s="14">
        <f t="shared" si="19"/>
        <v>101500.56475830078</v>
      </c>
      <c r="U168" s="15">
        <f t="shared" si="21"/>
        <v>10842.050145766654</v>
      </c>
      <c r="V168" s="15">
        <f t="shared" si="22"/>
        <v>-17081.442982804434</v>
      </c>
      <c r="W168" s="16">
        <f t="shared" si="16"/>
        <v>0.1911379786543308</v>
      </c>
      <c r="X168" s="16">
        <f t="shared" si="17"/>
        <v>-0.35206858468751973</v>
      </c>
    </row>
    <row r="169" spans="14:24" x14ac:dyDescent="0.25">
      <c r="N169" s="9"/>
      <c r="O169" s="9"/>
      <c r="P169" s="9"/>
      <c r="Q169" s="10"/>
      <c r="R169" s="14">
        <f t="shared" si="18"/>
        <v>77573</v>
      </c>
      <c r="S169" s="14">
        <f t="shared" si="20"/>
        <v>48900.131469726563</v>
      </c>
      <c r="T169" s="14">
        <f t="shared" si="19"/>
        <v>102123.26147460937</v>
      </c>
      <c r="U169" s="15">
        <f t="shared" si="21"/>
        <v>-36192.608900116109</v>
      </c>
      <c r="V169" s="15">
        <f t="shared" si="22"/>
        <v>-34151.115083875469</v>
      </c>
      <c r="W169" s="16">
        <f t="shared" si="16"/>
        <v>-0.63927133807898984</v>
      </c>
      <c r="X169" s="16">
        <f t="shared" si="17"/>
        <v>-0.69860662560612585</v>
      </c>
    </row>
    <row r="170" spans="14:24" x14ac:dyDescent="0.25">
      <c r="N170" s="9"/>
      <c r="O170" s="9"/>
      <c r="P170" s="9"/>
      <c r="Q170" s="10"/>
      <c r="R170" s="14">
        <f t="shared" si="18"/>
        <v>78046</v>
      </c>
      <c r="S170" s="14">
        <f t="shared" si="20"/>
        <v>49198.296905517578</v>
      </c>
      <c r="T170" s="14">
        <f t="shared" si="19"/>
        <v>102745.95819091797</v>
      </c>
      <c r="U170" s="15">
        <f t="shared" si="21"/>
        <v>-67849.5924823565</v>
      </c>
      <c r="V170" s="15">
        <f t="shared" si="22"/>
        <v>-34330.502247069948</v>
      </c>
      <c r="W170" s="16">
        <f t="shared" si="16"/>
        <v>-1.1981837367151049</v>
      </c>
      <c r="X170" s="16">
        <f t="shared" si="17"/>
        <v>-0.70224843405629878</v>
      </c>
    </row>
    <row r="171" spans="14:24" x14ac:dyDescent="0.25">
      <c r="N171" s="9"/>
      <c r="O171" s="9"/>
      <c r="P171" s="9"/>
      <c r="Q171" s="10"/>
      <c r="R171" s="14">
        <f t="shared" si="18"/>
        <v>78519</v>
      </c>
      <c r="S171" s="14">
        <f t="shared" si="20"/>
        <v>49496.462341308594</v>
      </c>
      <c r="T171" s="14">
        <f t="shared" si="19"/>
        <v>103368.65490722656</v>
      </c>
      <c r="U171" s="15">
        <f t="shared" si="21"/>
        <v>-68945.614991336799</v>
      </c>
      <c r="V171" s="15">
        <f t="shared" si="22"/>
        <v>-18334.282780284218</v>
      </c>
      <c r="W171" s="16">
        <f t="shared" si="16"/>
        <v>-1.2175343033242689</v>
      </c>
      <c r="X171" s="16">
        <f t="shared" si="17"/>
        <v>-0.37750297185282833</v>
      </c>
    </row>
    <row r="172" spans="14:24" x14ac:dyDescent="0.25">
      <c r="N172" s="9"/>
      <c r="O172" s="9"/>
      <c r="P172" s="9"/>
      <c r="Q172" s="10"/>
      <c r="R172" s="14">
        <f t="shared" si="18"/>
        <v>78992</v>
      </c>
      <c r="S172" s="14">
        <f t="shared" si="20"/>
        <v>49794.627777099609</v>
      </c>
      <c r="T172" s="14">
        <f t="shared" si="19"/>
        <v>103991.35162353516</v>
      </c>
      <c r="U172" s="15">
        <f t="shared" si="21"/>
        <v>-38098.175611685401</v>
      </c>
      <c r="V172" s="15">
        <f t="shared" si="22"/>
        <v>5464.6924957771917</v>
      </c>
      <c r="W172" s="16">
        <f t="shared" si="16"/>
        <v>-0.67291462120346979</v>
      </c>
      <c r="X172" s="16">
        <f t="shared" si="17"/>
        <v>0.10564926558934214</v>
      </c>
    </row>
    <row r="173" spans="14:24" x14ac:dyDescent="0.25">
      <c r="N173" s="9"/>
      <c r="O173" s="9"/>
      <c r="P173" s="9"/>
      <c r="Q173" s="10"/>
      <c r="R173" s="14">
        <f t="shared" si="18"/>
        <v>79465</v>
      </c>
      <c r="S173" s="14">
        <f t="shared" si="20"/>
        <v>50092.793212890625</v>
      </c>
      <c r="T173" s="14">
        <f t="shared" si="19"/>
        <v>104614.04833984375</v>
      </c>
      <c r="U173" s="15">
        <f t="shared" si="21"/>
        <v>11246.069408808338</v>
      </c>
      <c r="V173" s="15">
        <f t="shared" si="22"/>
        <v>25340.433004525879</v>
      </c>
      <c r="W173" s="16">
        <f t="shared" si="16"/>
        <v>0.19827104535398007</v>
      </c>
      <c r="X173" s="16">
        <f t="shared" si="17"/>
        <v>0.50915439075669566</v>
      </c>
    </row>
    <row r="174" spans="14:24" x14ac:dyDescent="0.25">
      <c r="N174" s="9"/>
      <c r="O174" s="9"/>
      <c r="P174" s="9"/>
      <c r="Q174" s="10"/>
      <c r="R174" s="14">
        <f t="shared" si="18"/>
        <v>79938</v>
      </c>
      <c r="S174" s="14">
        <f t="shared" si="20"/>
        <v>50390.958648681641</v>
      </c>
      <c r="T174" s="14">
        <f t="shared" si="19"/>
        <v>105236.74505615234</v>
      </c>
      <c r="U174" s="15">
        <f t="shared" si="21"/>
        <v>56680.176382995749</v>
      </c>
      <c r="V174" s="15">
        <f t="shared" si="22"/>
        <v>31976.014215279396</v>
      </c>
      <c r="W174" s="16">
        <f t="shared" si="16"/>
        <v>1.0004221929155825</v>
      </c>
      <c r="X174" s="16">
        <f t="shared" si="17"/>
        <v>0.64386590129511756</v>
      </c>
    </row>
    <row r="175" spans="14:24" x14ac:dyDescent="0.25">
      <c r="N175" s="9"/>
      <c r="O175" s="9"/>
      <c r="P175" s="9"/>
      <c r="Q175" s="10"/>
      <c r="R175" s="14">
        <f t="shared" si="18"/>
        <v>80411</v>
      </c>
      <c r="S175" s="14">
        <f t="shared" si="20"/>
        <v>50689.124084472656</v>
      </c>
      <c r="T175" s="14">
        <f t="shared" si="19"/>
        <v>105859.44177246094</v>
      </c>
      <c r="U175" s="15">
        <f t="shared" si="21"/>
        <v>77038.704224042798</v>
      </c>
      <c r="V175" s="15">
        <f t="shared" si="22"/>
        <v>22858.193311438652</v>
      </c>
      <c r="W175" s="16">
        <f t="shared" si="16"/>
        <v>1.359857374059094</v>
      </c>
      <c r="X175" s="16">
        <f t="shared" si="17"/>
        <v>0.45876147897493524</v>
      </c>
    </row>
    <row r="176" spans="14:24" x14ac:dyDescent="0.25">
      <c r="N176" s="9"/>
      <c r="O176" s="9"/>
      <c r="P176" s="9"/>
      <c r="Q176" s="10"/>
      <c r="R176" s="14">
        <f t="shared" si="18"/>
        <v>80884</v>
      </c>
      <c r="S176" s="14">
        <f t="shared" si="20"/>
        <v>50987.289520263672</v>
      </c>
      <c r="T176" s="14">
        <f t="shared" si="19"/>
        <v>106482.13848876953</v>
      </c>
      <c r="U176" s="15">
        <f t="shared" si="21"/>
        <v>62275.755959356124</v>
      </c>
      <c r="V176" s="15">
        <f t="shared" si="22"/>
        <v>3220.2271609540076</v>
      </c>
      <c r="W176" s="16">
        <f t="shared" si="16"/>
        <v>1.0992136268706902</v>
      </c>
      <c r="X176" s="16">
        <f t="shared" si="17"/>
        <v>6.008350337469788E-2</v>
      </c>
    </row>
    <row r="177" spans="14:24" x14ac:dyDescent="0.25">
      <c r="N177" s="9"/>
      <c r="O177" s="9"/>
      <c r="P177" s="9"/>
      <c r="Q177" s="10"/>
      <c r="R177" s="14">
        <f t="shared" si="18"/>
        <v>81357</v>
      </c>
      <c r="S177" s="14">
        <f t="shared" si="20"/>
        <v>51285.454956054688</v>
      </c>
      <c r="T177" s="14">
        <f t="shared" si="19"/>
        <v>107104.83520507812</v>
      </c>
      <c r="U177" s="15">
        <f t="shared" si="21"/>
        <v>18401.007746461113</v>
      </c>
      <c r="V177" s="15">
        <f t="shared" si="22"/>
        <v>-16817.615134791522</v>
      </c>
      <c r="W177" s="16">
        <f t="shared" si="16"/>
        <v>0.32459336971575048</v>
      </c>
      <c r="X177" s="16">
        <f t="shared" si="17"/>
        <v>-0.34671251310929474</v>
      </c>
    </row>
    <row r="178" spans="14:24" x14ac:dyDescent="0.25">
      <c r="N178" s="9"/>
      <c r="O178" s="9"/>
      <c r="P178" s="9"/>
      <c r="Q178" s="10"/>
      <c r="R178" s="14">
        <f t="shared" si="18"/>
        <v>81830</v>
      </c>
      <c r="S178" s="14">
        <f t="shared" si="20"/>
        <v>51583.620391845703</v>
      </c>
      <c r="T178" s="14">
        <f t="shared" si="19"/>
        <v>107727.53192138672</v>
      </c>
      <c r="U178" s="15">
        <f t="shared" si="21"/>
        <v>-34943.340143737536</v>
      </c>
      <c r="V178" s="15">
        <f t="shared" si="22"/>
        <v>-27397.254396917477</v>
      </c>
      <c r="W178" s="16">
        <f t="shared" si="16"/>
        <v>-0.61721516853413105</v>
      </c>
      <c r="X178" s="16">
        <f t="shared" si="17"/>
        <v>-0.56149387749722923</v>
      </c>
    </row>
    <row r="179" spans="14:24" x14ac:dyDescent="0.25">
      <c r="N179" s="9"/>
      <c r="O179" s="9"/>
      <c r="P179" s="9"/>
      <c r="Q179" s="10"/>
      <c r="R179" s="14">
        <f t="shared" si="18"/>
        <v>82303</v>
      </c>
      <c r="S179" s="14">
        <f t="shared" si="20"/>
        <v>51881.785827636719</v>
      </c>
      <c r="T179" s="14">
        <f t="shared" si="19"/>
        <v>108350.22863769531</v>
      </c>
      <c r="U179" s="15">
        <f t="shared" si="21"/>
        <v>-73300.199959272562</v>
      </c>
      <c r="V179" s="15">
        <f t="shared" si="22"/>
        <v>-23768.039613346809</v>
      </c>
      <c r="W179" s="16">
        <f t="shared" si="16"/>
        <v>-1.2944156499999873</v>
      </c>
      <c r="X179" s="16">
        <f t="shared" si="17"/>
        <v>-0.48781577907069229</v>
      </c>
    </row>
    <row r="180" spans="14:24" x14ac:dyDescent="0.25">
      <c r="N180" s="9"/>
      <c r="O180" s="9"/>
      <c r="P180" s="9"/>
      <c r="Q180" s="10"/>
      <c r="R180" s="14">
        <f t="shared" si="18"/>
        <v>82776</v>
      </c>
      <c r="S180" s="14">
        <f t="shared" si="20"/>
        <v>52179.951263427734</v>
      </c>
      <c r="T180" s="14">
        <f t="shared" si="19"/>
        <v>108972.92535400391</v>
      </c>
      <c r="U180" s="15">
        <f t="shared" si="21"/>
        <v>-78641.006404297019</v>
      </c>
      <c r="V180" s="15">
        <f t="shared" si="22"/>
        <v>-8449.1711988562129</v>
      </c>
      <c r="W180" s="16">
        <f t="shared" si="16"/>
        <v>-1.3887089970930582</v>
      </c>
      <c r="X180" s="16">
        <f t="shared" si="17"/>
        <v>-0.1768214835731004</v>
      </c>
    </row>
    <row r="181" spans="14:24" x14ac:dyDescent="0.25">
      <c r="N181" s="9"/>
      <c r="O181" s="9"/>
      <c r="P181" s="9"/>
      <c r="Q181" s="10"/>
      <c r="R181" s="14">
        <f t="shared" si="18"/>
        <v>83249</v>
      </c>
      <c r="S181" s="14">
        <f t="shared" si="20"/>
        <v>52478.11669921875</v>
      </c>
      <c r="T181" s="14">
        <f t="shared" si="19"/>
        <v>109595.6220703125</v>
      </c>
      <c r="U181" s="15">
        <f t="shared" si="21"/>
        <v>-47852.655568988739</v>
      </c>
      <c r="V181" s="15">
        <f t="shared" si="22"/>
        <v>10288.119481444377</v>
      </c>
      <c r="W181" s="16">
        <f t="shared" si="16"/>
        <v>-0.84513253881463601</v>
      </c>
      <c r="X181" s="16">
        <f t="shared" si="17"/>
        <v>0.2035715296041363</v>
      </c>
    </row>
    <row r="182" spans="14:24" x14ac:dyDescent="0.25">
      <c r="N182" s="9"/>
      <c r="O182" s="9"/>
      <c r="P182" s="9"/>
      <c r="Q182" s="10"/>
      <c r="R182" s="14">
        <f t="shared" si="18"/>
        <v>83722</v>
      </c>
      <c r="S182" s="14">
        <f t="shared" si="20"/>
        <v>52776.282135009766</v>
      </c>
      <c r="T182" s="14">
        <f t="shared" si="19"/>
        <v>110218.31878662109</v>
      </c>
      <c r="U182" s="15">
        <f t="shared" si="21"/>
        <v>5533.2265982414237</v>
      </c>
      <c r="V182" s="15">
        <f t="shared" si="22"/>
        <v>22768.795632960519</v>
      </c>
      <c r="W182" s="16">
        <f t="shared" si="16"/>
        <v>9.7409298056100879E-2</v>
      </c>
      <c r="X182" s="16">
        <f t="shared" si="17"/>
        <v>0.45694658199395927</v>
      </c>
    </row>
    <row r="183" spans="14:24" x14ac:dyDescent="0.25">
      <c r="N183" s="9"/>
      <c r="O183" s="9"/>
      <c r="P183" s="9"/>
      <c r="Q183" s="10"/>
      <c r="R183" s="14">
        <f t="shared" si="18"/>
        <v>84195</v>
      </c>
      <c r="S183" s="14">
        <f t="shared" si="20"/>
        <v>53074.447570800781</v>
      </c>
      <c r="T183" s="14">
        <f t="shared" si="19"/>
        <v>110841.01550292969</v>
      </c>
      <c r="U183" s="15">
        <f t="shared" si="21"/>
        <v>57299.752070831048</v>
      </c>
      <c r="V183" s="15">
        <f t="shared" si="22"/>
        <v>22850.502671720951</v>
      </c>
      <c r="W183" s="16">
        <f t="shared" si="16"/>
        <v>1.0113609651749496</v>
      </c>
      <c r="X183" s="16">
        <f t="shared" si="17"/>
        <v>0.45860534831200261</v>
      </c>
    </row>
    <row r="184" spans="14:24" x14ac:dyDescent="0.25">
      <c r="N184" s="9"/>
      <c r="O184" s="9"/>
      <c r="P184" s="9"/>
      <c r="Q184" s="10"/>
      <c r="R184" s="14">
        <f t="shared" si="18"/>
        <v>84668</v>
      </c>
      <c r="S184" s="14">
        <f t="shared" si="20"/>
        <v>53372.613006591797</v>
      </c>
      <c r="T184" s="14">
        <f t="shared" si="19"/>
        <v>111463.71221923828</v>
      </c>
      <c r="U184" s="15">
        <f t="shared" si="21"/>
        <v>83563.321944597192</v>
      </c>
      <c r="V184" s="15">
        <f t="shared" si="22"/>
        <v>10953.329930122578</v>
      </c>
      <c r="W184" s="16">
        <f t="shared" si="16"/>
        <v>1.4750512216000375</v>
      </c>
      <c r="X184" s="16">
        <f t="shared" si="17"/>
        <v>0.21707622520218864</v>
      </c>
    </row>
    <row r="185" spans="14:24" x14ac:dyDescent="0.25">
      <c r="N185" s="9"/>
      <c r="O185" s="9"/>
      <c r="P185" s="9"/>
      <c r="Q185" s="10"/>
      <c r="R185" s="14">
        <f t="shared" si="18"/>
        <v>85141</v>
      </c>
      <c r="S185" s="14">
        <f t="shared" si="20"/>
        <v>53670.778442382812</v>
      </c>
      <c r="T185" s="14">
        <f t="shared" si="19"/>
        <v>112086.40893554687</v>
      </c>
      <c r="U185" s="15">
        <f t="shared" si="21"/>
        <v>71823.282738119058</v>
      </c>
      <c r="V185" s="15">
        <f t="shared" si="22"/>
        <v>-6313.6116649752257</v>
      </c>
      <c r="W185" s="16">
        <f t="shared" si="16"/>
        <v>1.2677777315049223</v>
      </c>
      <c r="X185" s="16">
        <f t="shared" si="17"/>
        <v>-0.13346666030794027</v>
      </c>
    </row>
    <row r="186" spans="14:24" x14ac:dyDescent="0.25">
      <c r="N186" s="9"/>
      <c r="O186" s="9"/>
      <c r="P186" s="9"/>
      <c r="Q186" s="10"/>
      <c r="R186" s="14">
        <f t="shared" si="18"/>
        <v>85614</v>
      </c>
      <c r="S186" s="14">
        <f t="shared" si="20"/>
        <v>53968.943878173828</v>
      </c>
      <c r="T186" s="14">
        <f t="shared" si="19"/>
        <v>112709.10565185547</v>
      </c>
      <c r="U186" s="15">
        <f t="shared" si="21"/>
        <v>26917.128075776713</v>
      </c>
      <c r="V186" s="15">
        <f t="shared" si="22"/>
        <v>-19687.121951666628</v>
      </c>
      <c r="W186" s="16">
        <f t="shared" si="16"/>
        <v>0.47494772132244617</v>
      </c>
      <c r="X186" s="16">
        <f t="shared" si="17"/>
        <v>-0.40496748513421676</v>
      </c>
    </row>
    <row r="187" spans="14:24" x14ac:dyDescent="0.25">
      <c r="N187" s="9"/>
      <c r="O187" s="9"/>
      <c r="P187" s="9"/>
      <c r="Q187" s="10"/>
      <c r="R187" s="14">
        <f t="shared" si="18"/>
        <v>86087</v>
      </c>
      <c r="S187" s="14">
        <f t="shared" si="20"/>
        <v>54267.109313964844</v>
      </c>
      <c r="T187" s="14">
        <f t="shared" si="19"/>
        <v>113331.80236816406</v>
      </c>
      <c r="U187" s="15">
        <f t="shared" si="21"/>
        <v>-30958.373764807184</v>
      </c>
      <c r="V187" s="15">
        <f t="shared" si="22"/>
        <v>-22104.295411266721</v>
      </c>
      <c r="W187" s="16">
        <f t="shared" si="16"/>
        <v>-0.54685953558046818</v>
      </c>
      <c r="X187" s="16">
        <f t="shared" si="17"/>
        <v>-0.4540394620468669</v>
      </c>
    </row>
    <row r="188" spans="14:24" x14ac:dyDescent="0.25">
      <c r="N188" s="9"/>
      <c r="O188" s="9"/>
      <c r="P188" s="9"/>
      <c r="Q188" s="10"/>
      <c r="R188" s="14">
        <f t="shared" si="18"/>
        <v>86560</v>
      </c>
      <c r="S188" s="14">
        <f t="shared" si="20"/>
        <v>54565.274749755859</v>
      </c>
      <c r="T188" s="14">
        <f t="shared" si="19"/>
        <v>113954.49908447266</v>
      </c>
      <c r="U188" s="15">
        <f t="shared" si="21"/>
        <v>-75358.525621329522</v>
      </c>
      <c r="V188" s="15">
        <f t="shared" si="22"/>
        <v>-12375.826603820798</v>
      </c>
      <c r="W188" s="16">
        <f t="shared" si="16"/>
        <v>-1.3307559327046197</v>
      </c>
      <c r="X188" s="16">
        <f t="shared" si="17"/>
        <v>-0.2565380395410094</v>
      </c>
    </row>
    <row r="189" spans="14:24" x14ac:dyDescent="0.25">
      <c r="N189" s="9"/>
      <c r="O189" s="9"/>
      <c r="P189" s="9"/>
      <c r="Q189" s="10"/>
      <c r="R189" s="14">
        <f t="shared" si="18"/>
        <v>87033</v>
      </c>
      <c r="S189" s="14">
        <f t="shared" si="20"/>
        <v>54863.440185546875</v>
      </c>
      <c r="T189" s="14">
        <f t="shared" si="19"/>
        <v>114577.19580078125</v>
      </c>
      <c r="U189" s="15">
        <f t="shared" si="21"/>
        <v>-85712.102085177801</v>
      </c>
      <c r="V189" s="15">
        <f t="shared" si="22"/>
        <v>4209.4913554016548</v>
      </c>
      <c r="W189" s="16">
        <f t="shared" si="16"/>
        <v>-1.5135510572255244</v>
      </c>
      <c r="X189" s="16">
        <f t="shared" si="17"/>
        <v>8.0166939885074714E-2</v>
      </c>
    </row>
    <row r="190" spans="14:24" x14ac:dyDescent="0.25">
      <c r="N190" s="9"/>
      <c r="O190" s="9"/>
      <c r="P190" s="9"/>
      <c r="Q190" s="10"/>
      <c r="R190" s="14">
        <f t="shared" si="18"/>
        <v>87506</v>
      </c>
      <c r="S190" s="14">
        <f t="shared" si="20"/>
        <v>55161.605621337891</v>
      </c>
      <c r="T190" s="14">
        <f t="shared" si="19"/>
        <v>115199.89251708984</v>
      </c>
      <c r="U190" s="15">
        <f t="shared" si="21"/>
        <v>-56879.944346309348</v>
      </c>
      <c r="V190" s="15">
        <f t="shared" si="22"/>
        <v>18663.096497653933</v>
      </c>
      <c r="W190" s="16">
        <f t="shared" si="16"/>
        <v>-1.0045117042555172</v>
      </c>
      <c r="X190" s="16">
        <f t="shared" si="17"/>
        <v>0.3735951897395593</v>
      </c>
    </row>
    <row r="191" spans="14:24" x14ac:dyDescent="0.25">
      <c r="N191" s="9"/>
      <c r="O191" s="9"/>
      <c r="P191" s="9"/>
      <c r="Q191" s="10"/>
      <c r="R191" s="14">
        <f t="shared" si="18"/>
        <v>87979</v>
      </c>
      <c r="S191" s="14">
        <f t="shared" si="20"/>
        <v>55459.771057128906</v>
      </c>
      <c r="T191" s="14">
        <f t="shared" si="19"/>
        <v>115822.58923339844</v>
      </c>
      <c r="U191" s="15">
        <f t="shared" si="21"/>
        <v>-1696.9576806478008</v>
      </c>
      <c r="V191" s="15">
        <f t="shared" si="22"/>
        <v>23032.941777453801</v>
      </c>
      <c r="W191" s="16">
        <f t="shared" si="16"/>
        <v>-3.0241513253733948E-2</v>
      </c>
      <c r="X191" s="16">
        <f t="shared" si="17"/>
        <v>0.46230911543261632</v>
      </c>
    </row>
    <row r="192" spans="14:24" x14ac:dyDescent="0.25">
      <c r="N192" s="9"/>
      <c r="O192" s="9"/>
      <c r="P192" s="9"/>
      <c r="Q192" s="10"/>
      <c r="R192" s="14">
        <f t="shared" si="18"/>
        <v>88452</v>
      </c>
      <c r="S192" s="14">
        <f t="shared" si="20"/>
        <v>55757.936492919922</v>
      </c>
      <c r="T192" s="14">
        <f t="shared" si="19"/>
        <v>116445.28594970703</v>
      </c>
      <c r="U192" s="15">
        <f t="shared" si="21"/>
        <v>54756.524175479797</v>
      </c>
      <c r="V192" s="15">
        <f t="shared" si="22"/>
        <v>14651.881506362624</v>
      </c>
      <c r="W192" s="16">
        <f t="shared" si="16"/>
        <v>0.96645960558785104</v>
      </c>
      <c r="X192" s="16">
        <f t="shared" si="17"/>
        <v>0.2921619567779129</v>
      </c>
    </row>
    <row r="193" spans="14:24" x14ac:dyDescent="0.25">
      <c r="N193" s="9"/>
      <c r="O193" s="9"/>
      <c r="P193" s="9"/>
      <c r="Q193" s="10"/>
      <c r="R193" s="14">
        <f t="shared" si="18"/>
        <v>88925</v>
      </c>
      <c r="S193" s="14">
        <f t="shared" si="20"/>
        <v>56056.101928710938</v>
      </c>
      <c r="T193" s="14">
        <f t="shared" si="19"/>
        <v>117067.98266601562</v>
      </c>
      <c r="U193" s="15">
        <f t="shared" si="21"/>
        <v>86590.876712828642</v>
      </c>
      <c r="V193" s="15">
        <f t="shared" si="22"/>
        <v>-2324.4926989927044</v>
      </c>
      <c r="W193" s="16">
        <f t="shared" si="16"/>
        <v>1.5285034999296678</v>
      </c>
      <c r="X193" s="16">
        <f t="shared" si="17"/>
        <v>-5.2482007335250692E-2</v>
      </c>
    </row>
    <row r="194" spans="14:24" x14ac:dyDescent="0.25">
      <c r="N194" s="9"/>
      <c r="O194" s="9"/>
      <c r="P194" s="9"/>
      <c r="Q194" s="10"/>
      <c r="R194" s="14">
        <f t="shared" si="18"/>
        <v>89398</v>
      </c>
      <c r="S194" s="14">
        <f t="shared" si="20"/>
        <v>56354.267364501953</v>
      </c>
      <c r="T194" s="14">
        <f t="shared" si="19"/>
        <v>117690.67938232422</v>
      </c>
      <c r="U194" s="15">
        <f t="shared" si="21"/>
        <v>79019.904352406142</v>
      </c>
      <c r="V194" s="15">
        <f t="shared" si="22"/>
        <v>-18945.183218378857</v>
      </c>
      <c r="W194" s="16">
        <f t="shared" si="16"/>
        <v>1.3948359851148528</v>
      </c>
      <c r="X194" s="16">
        <f t="shared" si="17"/>
        <v>-0.38990509883922497</v>
      </c>
    </row>
    <row r="195" spans="14:24" x14ac:dyDescent="0.25">
      <c r="N195" s="9"/>
      <c r="O195" s="9"/>
      <c r="P195" s="9"/>
      <c r="Q195" s="10"/>
      <c r="R195" s="14">
        <f t="shared" si="18"/>
        <v>89871</v>
      </c>
      <c r="S195" s="14">
        <f t="shared" si="20"/>
        <v>56652.432800292969</v>
      </c>
      <c r="T195" s="14">
        <f t="shared" si="19"/>
        <v>118313.37609863281</v>
      </c>
      <c r="U195" s="15">
        <f t="shared" si="21"/>
        <v>35251.143922668183</v>
      </c>
      <c r="V195" s="15">
        <f t="shared" si="22"/>
        <v>-26080.012261131636</v>
      </c>
      <c r="W195" s="16">
        <f t="shared" si="16"/>
        <v>0.62208697023909409</v>
      </c>
      <c r="X195" s="16">
        <f t="shared" si="17"/>
        <v>-0.53475203345665012</v>
      </c>
    </row>
    <row r="196" spans="14:24" x14ac:dyDescent="0.25">
      <c r="N196" s="9"/>
      <c r="O196" s="9"/>
      <c r="P196" s="9"/>
      <c r="Q196" s="10"/>
      <c r="R196" s="14">
        <f t="shared" si="18"/>
        <v>90344</v>
      </c>
      <c r="S196" s="14">
        <f t="shared" si="20"/>
        <v>56950.598236083984</v>
      </c>
      <c r="T196" s="14">
        <f t="shared" si="19"/>
        <v>118936.07281494141</v>
      </c>
      <c r="U196" s="15">
        <f t="shared" si="21"/>
        <v>-24867.226131736144</v>
      </c>
      <c r="V196" s="15">
        <f t="shared" si="22"/>
        <v>-19282.673796852432</v>
      </c>
      <c r="W196" s="16">
        <f t="shared" si="16"/>
        <v>-0.43931871681603241</v>
      </c>
      <c r="X196" s="16">
        <f t="shared" si="17"/>
        <v>-0.39675662610935813</v>
      </c>
    </row>
    <row r="197" spans="14:24" x14ac:dyDescent="0.25">
      <c r="N197" s="9"/>
      <c r="O197" s="9"/>
      <c r="P197" s="9"/>
      <c r="Q197" s="10"/>
      <c r="R197" s="14">
        <f t="shared" si="18"/>
        <v>90817</v>
      </c>
      <c r="S197" s="14">
        <f t="shared" si="20"/>
        <v>57248.763671875</v>
      </c>
      <c r="T197" s="14">
        <f t="shared" si="19"/>
        <v>119558.76953125</v>
      </c>
      <c r="U197" s="15">
        <f t="shared" si="21"/>
        <v>-73875.602439685492</v>
      </c>
      <c r="V197" s="15">
        <f t="shared" si="22"/>
        <v>-1366.2454605296407</v>
      </c>
      <c r="W197" s="16">
        <f t="shared" ref="W197:W260" si="23">(U197-$W$1)/$W$2</f>
        <v>-1.3045745326261</v>
      </c>
      <c r="X197" s="16">
        <f t="shared" ref="X197:X260" si="24">(V197-$X$1)/$X$2</f>
        <v>-3.3028258091185307E-2</v>
      </c>
    </row>
    <row r="198" spans="14:24" x14ac:dyDescent="0.25">
      <c r="N198" s="9"/>
      <c r="O198" s="9"/>
      <c r="P198" s="9"/>
      <c r="Q198" s="10"/>
      <c r="R198" s="14">
        <f t="shared" ref="R198:R261" si="25">R197+a_inc</f>
        <v>91290</v>
      </c>
      <c r="S198" s="14">
        <f t="shared" si="20"/>
        <v>57546.929107666016</v>
      </c>
      <c r="T198" s="14">
        <f t="shared" ref="T198:T261" si="26">T197+t_inc</f>
        <v>120181.46624755859</v>
      </c>
      <c r="U198" s="15">
        <f t="shared" si="21"/>
        <v>-89288.549836846229</v>
      </c>
      <c r="V198" s="15">
        <f t="shared" si="22"/>
        <v>18735.847059641826</v>
      </c>
      <c r="W198" s="16">
        <f t="shared" si="23"/>
        <v>-1.5766941860169592</v>
      </c>
      <c r="X198" s="16">
        <f t="shared" si="24"/>
        <v>0.37507212714513666</v>
      </c>
    </row>
    <row r="199" spans="14:24" x14ac:dyDescent="0.25">
      <c r="N199" s="9"/>
      <c r="O199" s="9"/>
      <c r="P199" s="9"/>
      <c r="Q199" s="10"/>
      <c r="R199" s="14">
        <f t="shared" si="25"/>
        <v>91763</v>
      </c>
      <c r="S199" s="14">
        <f t="shared" ref="S199:S262" si="27">S198+b_inc</f>
        <v>57845.094543457031</v>
      </c>
      <c r="T199" s="14">
        <f t="shared" si="26"/>
        <v>120804.16296386719</v>
      </c>
      <c r="U199" s="15">
        <f t="shared" si="21"/>
        <v>-63949.480434115947</v>
      </c>
      <c r="V199" s="15">
        <f t="shared" si="22"/>
        <v>30375.566559380306</v>
      </c>
      <c r="W199" s="16">
        <f t="shared" si="23"/>
        <v>-1.1293262293607207</v>
      </c>
      <c r="X199" s="16">
        <f t="shared" si="24"/>
        <v>0.61137459203128897</v>
      </c>
    </row>
    <row r="200" spans="14:24" x14ac:dyDescent="0.25">
      <c r="N200" s="9"/>
      <c r="O200" s="9"/>
      <c r="P200" s="9"/>
      <c r="Q200" s="10"/>
      <c r="R200" s="14">
        <f t="shared" si="25"/>
        <v>92236</v>
      </c>
      <c r="S200" s="14">
        <f t="shared" si="27"/>
        <v>58143.259979248047</v>
      </c>
      <c r="T200" s="14">
        <f t="shared" si="26"/>
        <v>121426.85968017578</v>
      </c>
      <c r="U200" s="15">
        <f t="shared" si="21"/>
        <v>-9369.0462165491135</v>
      </c>
      <c r="V200" s="15">
        <f t="shared" si="22"/>
        <v>26708.80306837743</v>
      </c>
      <c r="W200" s="16">
        <f t="shared" si="23"/>
        <v>-0.16569426082867447</v>
      </c>
      <c r="X200" s="16">
        <f t="shared" si="24"/>
        <v>0.53693420271623715</v>
      </c>
    </row>
    <row r="201" spans="14:24" x14ac:dyDescent="0.25">
      <c r="N201" s="9"/>
      <c r="O201" s="9"/>
      <c r="P201" s="9"/>
      <c r="Q201" s="10"/>
      <c r="R201" s="14">
        <f t="shared" si="25"/>
        <v>92709</v>
      </c>
      <c r="S201" s="14">
        <f t="shared" si="27"/>
        <v>58441.425415039063</v>
      </c>
      <c r="T201" s="14">
        <f t="shared" si="26"/>
        <v>122049.55639648437</v>
      </c>
      <c r="U201" s="15">
        <f t="shared" si="21"/>
        <v>49517.148490698099</v>
      </c>
      <c r="V201" s="15">
        <f t="shared" si="22"/>
        <v>8512.3412492946882</v>
      </c>
      <c r="W201" s="16">
        <f t="shared" si="23"/>
        <v>0.8739570453319242</v>
      </c>
      <c r="X201" s="16">
        <f t="shared" si="24"/>
        <v>0.16752076623672238</v>
      </c>
    </row>
    <row r="202" spans="14:24" x14ac:dyDescent="0.25">
      <c r="N202" s="9"/>
      <c r="O202" s="9"/>
      <c r="P202" s="9"/>
      <c r="Q202" s="10"/>
      <c r="R202" s="14">
        <f t="shared" si="25"/>
        <v>93182</v>
      </c>
      <c r="S202" s="14">
        <f t="shared" si="27"/>
        <v>58739.590850830078</v>
      </c>
      <c r="T202" s="14">
        <f t="shared" si="26"/>
        <v>122672.25311279297</v>
      </c>
      <c r="U202" s="15">
        <f t="shared" si="21"/>
        <v>85778.602348126049</v>
      </c>
      <c r="V202" s="15">
        <f t="shared" si="22"/>
        <v>-15757.848393968476</v>
      </c>
      <c r="W202" s="16">
        <f t="shared" si="23"/>
        <v>1.5141625816818143</v>
      </c>
      <c r="X202" s="16">
        <f t="shared" si="24"/>
        <v>-0.32519777703112063</v>
      </c>
    </row>
    <row r="203" spans="14:24" x14ac:dyDescent="0.25">
      <c r="N203" s="9"/>
      <c r="O203" s="9"/>
      <c r="P203" s="9"/>
      <c r="Q203" s="10"/>
      <c r="R203" s="14">
        <f t="shared" si="25"/>
        <v>93655</v>
      </c>
      <c r="S203" s="14">
        <f t="shared" si="27"/>
        <v>59037.756286621094</v>
      </c>
      <c r="T203" s="14">
        <f t="shared" si="26"/>
        <v>123294.94982910156</v>
      </c>
      <c r="U203" s="15">
        <f t="shared" si="21"/>
        <v>82851.966075046788</v>
      </c>
      <c r="V203" s="15">
        <f t="shared" si="22"/>
        <v>-33884.266350658501</v>
      </c>
      <c r="W203" s="16">
        <f t="shared" si="23"/>
        <v>1.4624920460139801</v>
      </c>
      <c r="X203" s="16">
        <f t="shared" si="24"/>
        <v>-0.69318922586446252</v>
      </c>
    </row>
    <row r="204" spans="14:24" x14ac:dyDescent="0.25">
      <c r="N204" s="9"/>
      <c r="O204" s="9"/>
      <c r="P204" s="9"/>
      <c r="Q204" s="10"/>
      <c r="R204" s="14">
        <f t="shared" si="25"/>
        <v>94128</v>
      </c>
      <c r="S204" s="14">
        <f t="shared" si="27"/>
        <v>59335.921722412109</v>
      </c>
      <c r="T204" s="14">
        <f t="shared" si="26"/>
        <v>123917.64654541016</v>
      </c>
      <c r="U204" s="15">
        <f t="shared" si="21"/>
        <v>42140.245924508185</v>
      </c>
      <c r="V204" s="15">
        <f t="shared" si="22"/>
        <v>-35971.416979719521</v>
      </c>
      <c r="W204" s="16">
        <f t="shared" si="23"/>
        <v>0.74371588394448396</v>
      </c>
      <c r="X204" s="16">
        <f t="shared" si="24"/>
        <v>-0.73556128115727981</v>
      </c>
    </row>
    <row r="205" spans="14:24" x14ac:dyDescent="0.25">
      <c r="N205" s="9"/>
      <c r="O205" s="9"/>
      <c r="P205" s="9"/>
      <c r="Q205" s="10"/>
      <c r="R205" s="14">
        <f t="shared" si="25"/>
        <v>94601</v>
      </c>
      <c r="S205" s="14">
        <f t="shared" si="27"/>
        <v>59634.087158203125</v>
      </c>
      <c r="T205" s="14">
        <f t="shared" si="26"/>
        <v>124540.34326171875</v>
      </c>
      <c r="U205" s="15">
        <f t="shared" si="21"/>
        <v>-17652.416251020397</v>
      </c>
      <c r="V205" s="15">
        <f t="shared" si="22"/>
        <v>-19691.989678357379</v>
      </c>
      <c r="W205" s="16">
        <f t="shared" si="23"/>
        <v>-0.31193934456287215</v>
      </c>
      <c r="X205" s="16">
        <f t="shared" si="24"/>
        <v>-0.40506630674374455</v>
      </c>
    </row>
    <row r="206" spans="14:24" x14ac:dyDescent="0.25">
      <c r="N206" s="9"/>
      <c r="O206" s="9"/>
      <c r="P206" s="9"/>
      <c r="Q206" s="10"/>
      <c r="R206" s="14">
        <f t="shared" si="25"/>
        <v>95074</v>
      </c>
      <c r="S206" s="14">
        <f t="shared" si="27"/>
        <v>59932.252593994141</v>
      </c>
      <c r="T206" s="14">
        <f t="shared" si="26"/>
        <v>125163.03997802734</v>
      </c>
      <c r="U206" s="15">
        <f t="shared" si="21"/>
        <v>-69138.469991246704</v>
      </c>
      <c r="V206" s="15">
        <f t="shared" si="22"/>
        <v>8028.3381936520163</v>
      </c>
      <c r="W206" s="16">
        <f t="shared" si="23"/>
        <v>-1.2209392092373226</v>
      </c>
      <c r="X206" s="16">
        <f t="shared" si="24"/>
        <v>0.15769483228158176</v>
      </c>
    </row>
    <row r="207" spans="14:24" x14ac:dyDescent="0.25">
      <c r="N207" s="9"/>
      <c r="O207" s="9"/>
      <c r="P207" s="9"/>
      <c r="Q207" s="10"/>
      <c r="R207" s="14">
        <f t="shared" si="25"/>
        <v>95547</v>
      </c>
      <c r="S207" s="14">
        <f t="shared" si="27"/>
        <v>60230.418029785156</v>
      </c>
      <c r="T207" s="14">
        <f t="shared" si="26"/>
        <v>125785.73669433594</v>
      </c>
      <c r="U207" s="15">
        <f t="shared" si="21"/>
        <v>-88836.366083985486</v>
      </c>
      <c r="V207" s="15">
        <f t="shared" si="22"/>
        <v>33939.547119117953</v>
      </c>
      <c r="W207" s="16">
        <f t="shared" si="23"/>
        <v>-1.568710762540142</v>
      </c>
      <c r="X207" s="16">
        <f t="shared" si="24"/>
        <v>0.68372834515147851</v>
      </c>
    </row>
    <row r="208" spans="14:24" x14ac:dyDescent="0.25">
      <c r="N208" s="9"/>
      <c r="O208" s="9"/>
      <c r="P208" s="9"/>
      <c r="Q208" s="10"/>
      <c r="R208" s="14">
        <f t="shared" si="25"/>
        <v>96020</v>
      </c>
      <c r="S208" s="14">
        <f t="shared" si="27"/>
        <v>60528.583465576172</v>
      </c>
      <c r="T208" s="14">
        <f t="shared" si="26"/>
        <v>126408.43341064453</v>
      </c>
      <c r="U208" s="15">
        <f t="shared" si="21"/>
        <v>-67925.108641816856</v>
      </c>
      <c r="V208" s="15">
        <f t="shared" si="22"/>
        <v>44780.057713722192</v>
      </c>
      <c r="W208" s="16">
        <f t="shared" si="23"/>
        <v>-1.1995169944372164</v>
      </c>
      <c r="X208" s="16">
        <f t="shared" si="24"/>
        <v>0.90380575974785127</v>
      </c>
    </row>
    <row r="209" spans="14:24" x14ac:dyDescent="0.25">
      <c r="N209" s="9"/>
      <c r="O209" s="9"/>
      <c r="P209" s="9"/>
      <c r="Q209" s="10"/>
      <c r="R209" s="14">
        <f t="shared" si="25"/>
        <v>96493</v>
      </c>
      <c r="S209" s="14">
        <f t="shared" si="27"/>
        <v>60826.748901367188</v>
      </c>
      <c r="T209" s="14">
        <f t="shared" si="26"/>
        <v>127031.13012695313</v>
      </c>
      <c r="U209" s="15">
        <f t="shared" si="21"/>
        <v>-16218.261517817384</v>
      </c>
      <c r="V209" s="15">
        <f t="shared" si="22"/>
        <v>33974.243415883197</v>
      </c>
      <c r="W209" s="16">
        <f t="shared" si="23"/>
        <v>-0.28661896431036077</v>
      </c>
      <c r="X209" s="16">
        <f t="shared" si="24"/>
        <v>0.68443272814354572</v>
      </c>
    </row>
    <row r="210" spans="14:24" x14ac:dyDescent="0.25">
      <c r="N210" s="9"/>
      <c r="O210" s="9"/>
      <c r="P210" s="9"/>
      <c r="Q210" s="10"/>
      <c r="R210" s="14">
        <f t="shared" si="25"/>
        <v>96966</v>
      </c>
      <c r="S210" s="14">
        <f t="shared" si="27"/>
        <v>61124.914337158203</v>
      </c>
      <c r="T210" s="14">
        <f t="shared" si="26"/>
        <v>127653.82684326172</v>
      </c>
      <c r="U210" s="15">
        <f t="shared" si="21"/>
        <v>42444.153520604399</v>
      </c>
      <c r="V210" s="15">
        <f t="shared" si="22"/>
        <v>5366.9862887833151</v>
      </c>
      <c r="W210" s="16">
        <f t="shared" si="23"/>
        <v>0.7490814527472287</v>
      </c>
      <c r="X210" s="16">
        <f t="shared" si="24"/>
        <v>0.10366569394503847</v>
      </c>
    </row>
    <row r="211" spans="14:24" x14ac:dyDescent="0.25">
      <c r="N211" s="9"/>
      <c r="O211" s="9"/>
      <c r="P211" s="9"/>
      <c r="Q211" s="10"/>
      <c r="R211" s="14">
        <f t="shared" si="25"/>
        <v>97439</v>
      </c>
      <c r="S211" s="14">
        <f t="shared" si="27"/>
        <v>61423.079772949219</v>
      </c>
      <c r="T211" s="14">
        <f t="shared" si="26"/>
        <v>128276.52355957031</v>
      </c>
      <c r="U211" s="15">
        <f t="shared" si="21"/>
        <v>81221.370771198082</v>
      </c>
      <c r="V211" s="15">
        <f t="shared" si="22"/>
        <v>-28041.010356316852</v>
      </c>
      <c r="W211" s="16">
        <f t="shared" si="23"/>
        <v>1.4337034556509318</v>
      </c>
      <c r="X211" s="16">
        <f t="shared" si="24"/>
        <v>-0.57456301717835634</v>
      </c>
    </row>
    <row r="212" spans="14:24" x14ac:dyDescent="0.25">
      <c r="N212" s="9"/>
      <c r="O212" s="9"/>
      <c r="P212" s="9"/>
      <c r="Q212" s="10"/>
      <c r="R212" s="14">
        <f t="shared" si="25"/>
        <v>97912</v>
      </c>
      <c r="S212" s="14">
        <f t="shared" si="27"/>
        <v>61721.245208740234</v>
      </c>
      <c r="T212" s="14">
        <f t="shared" si="26"/>
        <v>128899.22027587891</v>
      </c>
      <c r="U212" s="15">
        <f t="shared" si="21"/>
        <v>82601.459315291169</v>
      </c>
      <c r="V212" s="15">
        <f t="shared" si="22"/>
        <v>-50001.910371377126</v>
      </c>
      <c r="W212" s="16">
        <f t="shared" si="23"/>
        <v>1.4580692830679831</v>
      </c>
      <c r="X212" s="16">
        <f t="shared" si="24"/>
        <v>-1.0203997750825031</v>
      </c>
    </row>
    <row r="213" spans="14:24" x14ac:dyDescent="0.25">
      <c r="N213" s="9"/>
      <c r="O213" s="9"/>
      <c r="P213" s="9"/>
      <c r="Q213" s="10"/>
      <c r="R213" s="14">
        <f t="shared" si="25"/>
        <v>98385</v>
      </c>
      <c r="S213" s="14">
        <f t="shared" si="27"/>
        <v>62019.41064453125</v>
      </c>
      <c r="T213" s="14">
        <f t="shared" si="26"/>
        <v>129521.9169921875</v>
      </c>
      <c r="U213" s="15">
        <f t="shared" si="21"/>
        <v>46349.687406044708</v>
      </c>
      <c r="V213" s="15">
        <f t="shared" si="22"/>
        <v>-48887.842052621098</v>
      </c>
      <c r="W213" s="16">
        <f t="shared" si="23"/>
        <v>0.81803468406806279</v>
      </c>
      <c r="X213" s="16">
        <f t="shared" si="24"/>
        <v>-0.99778264158718688</v>
      </c>
    </row>
    <row r="214" spans="14:24" x14ac:dyDescent="0.25">
      <c r="N214" s="9"/>
      <c r="O214" s="9"/>
      <c r="P214" s="9"/>
      <c r="Q214" s="10"/>
      <c r="R214" s="14">
        <f t="shared" si="25"/>
        <v>98858</v>
      </c>
      <c r="S214" s="14">
        <f t="shared" si="27"/>
        <v>62317.576080322266</v>
      </c>
      <c r="T214" s="14">
        <f t="shared" si="26"/>
        <v>130144.61370849609</v>
      </c>
      <c r="U214" s="15">
        <f t="shared" si="21"/>
        <v>-10550.05585961173</v>
      </c>
      <c r="V214" s="15">
        <f t="shared" si="22"/>
        <v>-23721.138144017765</v>
      </c>
      <c r="W214" s="16">
        <f t="shared" si="23"/>
        <v>-0.18654529771605546</v>
      </c>
      <c r="X214" s="16">
        <f t="shared" si="24"/>
        <v>-0.4868636141315385</v>
      </c>
    </row>
    <row r="215" spans="14:24" x14ac:dyDescent="0.25">
      <c r="N215" s="9"/>
      <c r="O215" s="9"/>
      <c r="P215" s="9"/>
      <c r="Q215" s="10"/>
      <c r="R215" s="14">
        <f t="shared" si="25"/>
        <v>99331</v>
      </c>
      <c r="S215" s="14">
        <f t="shared" si="27"/>
        <v>62615.741516113281</v>
      </c>
      <c r="T215" s="14">
        <f t="shared" si="26"/>
        <v>130767.31042480469</v>
      </c>
      <c r="U215" s="15">
        <f t="shared" si="21"/>
        <v>-61865.084034278276</v>
      </c>
      <c r="V215" s="15">
        <f t="shared" si="22"/>
        <v>14711.870958130774</v>
      </c>
      <c r="W215" s="16">
        <f t="shared" si="23"/>
        <v>-1.0925256609011498</v>
      </c>
      <c r="X215" s="16">
        <f t="shared" si="24"/>
        <v>0.29337982593019796</v>
      </c>
    </row>
    <row r="216" spans="14:24" x14ac:dyDescent="0.25">
      <c r="N216" s="9"/>
      <c r="O216" s="9"/>
      <c r="P216" s="9"/>
      <c r="Q216" s="10"/>
      <c r="R216" s="14">
        <f t="shared" si="25"/>
        <v>99804</v>
      </c>
      <c r="S216" s="14">
        <f t="shared" si="27"/>
        <v>62913.906951904297</v>
      </c>
      <c r="T216" s="14">
        <f t="shared" si="26"/>
        <v>131390.00714111328</v>
      </c>
      <c r="U216" s="15">
        <f t="shared" si="21"/>
        <v>-84249.962820428191</v>
      </c>
      <c r="V216" s="15">
        <f t="shared" si="22"/>
        <v>48473.074095627147</v>
      </c>
      <c r="W216" s="16">
        <f t="shared" si="23"/>
        <v>-1.4877366026841352</v>
      </c>
      <c r="X216" s="16">
        <f t="shared" si="24"/>
        <v>0.9787791191942441</v>
      </c>
    </row>
    <row r="217" spans="14:24" x14ac:dyDescent="0.25">
      <c r="N217" s="9"/>
      <c r="O217" s="9"/>
      <c r="P217" s="9"/>
      <c r="Q217" s="10"/>
      <c r="R217" s="14">
        <f t="shared" si="25"/>
        <v>100277</v>
      </c>
      <c r="S217" s="14">
        <f t="shared" si="27"/>
        <v>63212.072387695313</v>
      </c>
      <c r="T217" s="14">
        <f t="shared" si="26"/>
        <v>132012.70385742188</v>
      </c>
      <c r="U217" s="15">
        <f t="shared" si="21"/>
        <v>-67916.241593510713</v>
      </c>
      <c r="V217" s="15">
        <f t="shared" si="22"/>
        <v>60844.333209582459</v>
      </c>
      <c r="W217" s="16">
        <f t="shared" si="23"/>
        <v>-1.1993604443595776</v>
      </c>
      <c r="X217" s="16">
        <f t="shared" si="24"/>
        <v>1.2299328538214915</v>
      </c>
    </row>
    <row r="218" spans="14:24" x14ac:dyDescent="0.25">
      <c r="N218" s="9"/>
      <c r="O218" s="9"/>
      <c r="P218" s="9"/>
      <c r="Q218" s="10"/>
      <c r="R218" s="14">
        <f t="shared" si="25"/>
        <v>100750</v>
      </c>
      <c r="S218" s="14">
        <f t="shared" si="27"/>
        <v>63510.237823486328</v>
      </c>
      <c r="T218" s="14">
        <f t="shared" si="26"/>
        <v>132635.40057373047</v>
      </c>
      <c r="U218" s="15">
        <f t="shared" si="21"/>
        <v>-20937.688203340986</v>
      </c>
      <c r="V218" s="15">
        <f t="shared" si="22"/>
        <v>44551.686581071393</v>
      </c>
      <c r="W218" s="16">
        <f t="shared" si="23"/>
        <v>-0.36994168778275971</v>
      </c>
      <c r="X218" s="16">
        <f t="shared" si="24"/>
        <v>0.89916950871487422</v>
      </c>
    </row>
    <row r="219" spans="14:24" x14ac:dyDescent="0.25">
      <c r="N219" s="9"/>
      <c r="O219" s="9"/>
      <c r="P219" s="9"/>
      <c r="Q219" s="10"/>
      <c r="R219" s="14">
        <f t="shared" si="25"/>
        <v>101223</v>
      </c>
      <c r="S219" s="14">
        <f t="shared" si="27"/>
        <v>63808.403259277344</v>
      </c>
      <c r="T219" s="14">
        <f t="shared" si="26"/>
        <v>133258.09729003906</v>
      </c>
      <c r="U219" s="15">
        <f t="shared" si="21"/>
        <v>34714.569444184352</v>
      </c>
      <c r="V219" s="15">
        <f t="shared" si="22"/>
        <v>5817.8182661500978</v>
      </c>
      <c r="W219" s="16">
        <f t="shared" si="23"/>
        <v>0.61261360623278482</v>
      </c>
      <c r="X219" s="16">
        <f t="shared" si="24"/>
        <v>0.1128182089608567</v>
      </c>
    </row>
    <row r="220" spans="14:24" x14ac:dyDescent="0.25">
      <c r="N220" s="9"/>
      <c r="O220" s="9"/>
      <c r="P220" s="9"/>
      <c r="Q220" s="10"/>
      <c r="R220" s="14">
        <f t="shared" si="25"/>
        <v>101696</v>
      </c>
      <c r="S220" s="14">
        <f t="shared" si="27"/>
        <v>64106.568695068359</v>
      </c>
      <c r="T220" s="14">
        <f t="shared" si="26"/>
        <v>133880.79400634766</v>
      </c>
      <c r="U220" s="15">
        <f t="shared" si="21"/>
        <v>73470.797419796116</v>
      </c>
      <c r="V220" s="15">
        <f t="shared" si="22"/>
        <v>-37938.019009092546</v>
      </c>
      <c r="W220" s="16">
        <f t="shared" si="23"/>
        <v>1.2968650379481339</v>
      </c>
      <c r="X220" s="16">
        <f t="shared" si="24"/>
        <v>-0.77548603252275705</v>
      </c>
    </row>
    <row r="221" spans="14:24" x14ac:dyDescent="0.25">
      <c r="N221" s="9"/>
      <c r="O221" s="9"/>
      <c r="P221" s="9"/>
      <c r="Q221" s="10"/>
      <c r="R221" s="14">
        <f t="shared" si="25"/>
        <v>102169</v>
      </c>
      <c r="S221" s="14">
        <f t="shared" si="27"/>
        <v>64404.734130859375</v>
      </c>
      <c r="T221" s="14">
        <f t="shared" si="26"/>
        <v>134503.49072265625</v>
      </c>
      <c r="U221" s="15">
        <f t="shared" si="21"/>
        <v>77958.272376673296</v>
      </c>
      <c r="V221" s="15">
        <f t="shared" si="22"/>
        <v>-65944.288955824944</v>
      </c>
      <c r="W221" s="16">
        <f t="shared" si="23"/>
        <v>1.3760925924449803</v>
      </c>
      <c r="X221" s="16">
        <f t="shared" si="24"/>
        <v>-1.3440521926289799</v>
      </c>
    </row>
    <row r="222" spans="14:24" x14ac:dyDescent="0.25">
      <c r="N222" s="9"/>
      <c r="O222" s="9"/>
      <c r="P222" s="9"/>
      <c r="Q222" s="10"/>
      <c r="R222" s="14">
        <f t="shared" si="25"/>
        <v>102642</v>
      </c>
      <c r="S222" s="14">
        <f t="shared" si="27"/>
        <v>64702.899566650391</v>
      </c>
      <c r="T222" s="14">
        <f t="shared" si="26"/>
        <v>135126.18743896484</v>
      </c>
      <c r="U222" s="15">
        <f t="shared" si="21"/>
        <v>46831.65913795415</v>
      </c>
      <c r="V222" s="15">
        <f t="shared" si="22"/>
        <v>-63928.649769480136</v>
      </c>
      <c r="W222" s="16">
        <f t="shared" si="23"/>
        <v>0.82654402217529266</v>
      </c>
      <c r="X222" s="16">
        <f t="shared" si="24"/>
        <v>-1.3031319189002963</v>
      </c>
    </row>
    <row r="223" spans="14:24" x14ac:dyDescent="0.25">
      <c r="N223" s="9"/>
      <c r="O223" s="9"/>
      <c r="P223" s="9"/>
      <c r="Q223" s="10"/>
      <c r="R223" s="14">
        <f t="shared" si="25"/>
        <v>103115</v>
      </c>
      <c r="S223" s="14">
        <f t="shared" si="27"/>
        <v>65001.065002441406</v>
      </c>
      <c r="T223" s="14">
        <f t="shared" si="26"/>
        <v>135748.88415527344</v>
      </c>
      <c r="U223" s="15">
        <f t="shared" si="21"/>
        <v>-4910.7874350352213</v>
      </c>
      <c r="V223" s="15">
        <f t="shared" si="22"/>
        <v>-31307.736417409556</v>
      </c>
      <c r="W223" s="16">
        <f t="shared" si="23"/>
        <v>-8.6982525617289919E-2</v>
      </c>
      <c r="X223" s="16">
        <f t="shared" si="24"/>
        <v>-0.64088209130736618</v>
      </c>
    </row>
    <row r="224" spans="14:24" x14ac:dyDescent="0.25">
      <c r="N224" s="9"/>
      <c r="O224" s="9"/>
      <c r="P224" s="9"/>
      <c r="Q224" s="10"/>
      <c r="R224" s="14">
        <f t="shared" si="25"/>
        <v>103588</v>
      </c>
      <c r="S224" s="14">
        <f t="shared" si="27"/>
        <v>65299.230438232422</v>
      </c>
      <c r="T224" s="14">
        <f t="shared" si="26"/>
        <v>136371.58087158203</v>
      </c>
      <c r="U224" s="15">
        <f t="shared" si="21"/>
        <v>-53143.639578715833</v>
      </c>
      <c r="V224" s="15">
        <f t="shared" si="22"/>
        <v>17874.09722635986</v>
      </c>
      <c r="W224" s="16">
        <f t="shared" si="23"/>
        <v>-0.93854625766562894</v>
      </c>
      <c r="X224" s="16">
        <f t="shared" si="24"/>
        <v>0.35757740919043551</v>
      </c>
    </row>
    <row r="225" spans="14:24" x14ac:dyDescent="0.25">
      <c r="N225" s="9"/>
      <c r="O225" s="9"/>
      <c r="P225" s="9"/>
      <c r="Q225" s="10"/>
      <c r="R225" s="14">
        <f t="shared" si="25"/>
        <v>104061</v>
      </c>
      <c r="S225" s="14">
        <f t="shared" si="27"/>
        <v>65597.395874023438</v>
      </c>
      <c r="T225" s="14">
        <f t="shared" si="26"/>
        <v>136994.27758789062</v>
      </c>
      <c r="U225" s="15">
        <f t="shared" si="21"/>
        <v>-75895.893445140406</v>
      </c>
      <c r="V225" s="15">
        <f t="shared" si="22"/>
        <v>60987.798656161423</v>
      </c>
      <c r="W225" s="16">
        <f t="shared" si="23"/>
        <v>-1.3402433034320222</v>
      </c>
      <c r="X225" s="16">
        <f t="shared" si="24"/>
        <v>1.2328454015554267</v>
      </c>
    </row>
    <row r="226" spans="14:24" x14ac:dyDescent="0.25">
      <c r="N226" s="9"/>
      <c r="O226" s="9"/>
      <c r="P226" s="9"/>
      <c r="Q226" s="10"/>
      <c r="R226" s="14">
        <f t="shared" si="25"/>
        <v>104534</v>
      </c>
      <c r="S226" s="14">
        <f t="shared" si="27"/>
        <v>65895.561309814453</v>
      </c>
      <c r="T226" s="14">
        <f t="shared" si="26"/>
        <v>137616.97430419922</v>
      </c>
      <c r="U226" s="15">
        <f t="shared" si="21"/>
        <v>-63408.361934506582</v>
      </c>
      <c r="V226" s="15">
        <f t="shared" si="22"/>
        <v>77246.473287930377</v>
      </c>
      <c r="W226" s="16">
        <f t="shared" si="23"/>
        <v>-1.1197726394623859</v>
      </c>
      <c r="X226" s="16">
        <f t="shared" si="24"/>
        <v>1.5629190679659684</v>
      </c>
    </row>
    <row r="227" spans="14:24" x14ac:dyDescent="0.25">
      <c r="N227" s="9"/>
      <c r="O227" s="9"/>
      <c r="P227" s="9"/>
      <c r="Q227" s="10"/>
      <c r="R227" s="14">
        <f t="shared" si="25"/>
        <v>105007</v>
      </c>
      <c r="S227" s="14">
        <f t="shared" si="27"/>
        <v>66193.726745605469</v>
      </c>
      <c r="T227" s="14">
        <f t="shared" si="26"/>
        <v>138239.67102050781</v>
      </c>
      <c r="U227" s="15">
        <f t="shared" si="21"/>
        <v>-22341.281970125805</v>
      </c>
      <c r="V227" s="15">
        <f t="shared" si="22"/>
        <v>57705.002459865238</v>
      </c>
      <c r="W227" s="16">
        <f t="shared" si="23"/>
        <v>-0.39472250610887782</v>
      </c>
      <c r="X227" s="16">
        <f t="shared" si="24"/>
        <v>1.1662000813721436</v>
      </c>
    </row>
    <row r="228" spans="14:24" x14ac:dyDescent="0.25">
      <c r="N228" s="9"/>
      <c r="O228" s="9"/>
      <c r="P228" s="9"/>
      <c r="Q228" s="10"/>
      <c r="R228" s="14">
        <f t="shared" si="25"/>
        <v>105480</v>
      </c>
      <c r="S228" s="14">
        <f t="shared" si="27"/>
        <v>66491.892181396484</v>
      </c>
      <c r="T228" s="14">
        <f t="shared" si="26"/>
        <v>138862.36773681641</v>
      </c>
      <c r="U228" s="15">
        <f t="shared" si="21"/>
        <v>27692.698275897816</v>
      </c>
      <c r="V228" s="15">
        <f t="shared" si="22"/>
        <v>10031.033553213168</v>
      </c>
      <c r="W228" s="16">
        <f t="shared" si="23"/>
        <v>0.48864061785929619</v>
      </c>
      <c r="X228" s="16">
        <f t="shared" si="24"/>
        <v>0.1983523283570664</v>
      </c>
    </row>
    <row r="229" spans="14:24" x14ac:dyDescent="0.25">
      <c r="N229" s="9"/>
      <c r="O229" s="9"/>
      <c r="P229" s="9"/>
      <c r="Q229" s="10"/>
      <c r="R229" s="14">
        <f t="shared" si="25"/>
        <v>105953</v>
      </c>
      <c r="S229" s="14">
        <f t="shared" si="27"/>
        <v>66790.0576171875</v>
      </c>
      <c r="T229" s="14">
        <f t="shared" si="26"/>
        <v>139485.064453125</v>
      </c>
      <c r="U229" s="15">
        <f t="shared" ref="U229:U264" si="28">(R229-S229)*COS(T229)+S229*COS((R229/S229-1)*T229)</f>
        <v>63497.508511929533</v>
      </c>
      <c r="V229" s="15">
        <f t="shared" ref="V229:V264" si="29">(R229-S229)*SIN(T229)-S229*SIN((R229/S229-1)*T229)</f>
        <v>-44442.496920763049</v>
      </c>
      <c r="W229" s="16">
        <f t="shared" si="23"/>
        <v>1.1207839905765262</v>
      </c>
      <c r="X229" s="16">
        <f t="shared" si="24"/>
        <v>-0.90753596408337633</v>
      </c>
    </row>
    <row r="230" spans="14:24" x14ac:dyDescent="0.25">
      <c r="N230" s="9"/>
      <c r="O230" s="9"/>
      <c r="P230" s="9"/>
      <c r="Q230" s="10"/>
      <c r="R230" s="14">
        <f t="shared" si="25"/>
        <v>106426</v>
      </c>
      <c r="S230" s="14">
        <f t="shared" si="27"/>
        <v>67088.223052978516</v>
      </c>
      <c r="T230" s="14">
        <f t="shared" si="26"/>
        <v>140107.76116943359</v>
      </c>
      <c r="U230" s="15">
        <f t="shared" si="28"/>
        <v>69088.424971823959</v>
      </c>
      <c r="V230" s="15">
        <f t="shared" si="29"/>
        <v>-80282.84202637132</v>
      </c>
      <c r="W230" s="16">
        <f t="shared" si="23"/>
        <v>1.2194930959799473</v>
      </c>
      <c r="X230" s="16">
        <f t="shared" si="24"/>
        <v>-1.6351447257048108</v>
      </c>
    </row>
    <row r="231" spans="14:24" x14ac:dyDescent="0.25">
      <c r="N231" s="9"/>
      <c r="O231" s="9"/>
      <c r="P231" s="9"/>
      <c r="Q231" s="10"/>
      <c r="R231" s="14">
        <f t="shared" si="25"/>
        <v>106899</v>
      </c>
      <c r="S231" s="14">
        <f t="shared" si="27"/>
        <v>67386.388488769531</v>
      </c>
      <c r="T231" s="14">
        <f t="shared" si="26"/>
        <v>140730.45788574219</v>
      </c>
      <c r="U231" s="15">
        <f t="shared" si="28"/>
        <v>42871.533002133161</v>
      </c>
      <c r="V231" s="15">
        <f t="shared" si="29"/>
        <v>-79843.340058012676</v>
      </c>
      <c r="W231" s="16">
        <f t="shared" si="23"/>
        <v>0.75662695026844873</v>
      </c>
      <c r="X231" s="16">
        <f t="shared" si="24"/>
        <v>-1.6262222256009382</v>
      </c>
    </row>
    <row r="232" spans="14:24" x14ac:dyDescent="0.25">
      <c r="N232" s="9"/>
      <c r="O232" s="9"/>
      <c r="P232" s="9"/>
      <c r="Q232" s="10"/>
      <c r="R232" s="14">
        <f t="shared" si="25"/>
        <v>107372</v>
      </c>
      <c r="S232" s="14">
        <f t="shared" si="27"/>
        <v>67684.553924560547</v>
      </c>
      <c r="T232" s="14">
        <f t="shared" si="26"/>
        <v>141353.15460205078</v>
      </c>
      <c r="U232" s="15">
        <f t="shared" si="28"/>
        <v>-2036.471843192594</v>
      </c>
      <c r="V232" s="15">
        <f t="shared" si="29"/>
        <v>-41909.547749694553</v>
      </c>
      <c r="W232" s="16">
        <f t="shared" si="23"/>
        <v>-3.6235725382816809E-2</v>
      </c>
      <c r="X232" s="16">
        <f t="shared" si="24"/>
        <v>-0.85611357950028821</v>
      </c>
    </row>
    <row r="233" spans="14:24" x14ac:dyDescent="0.25">
      <c r="N233" s="9"/>
      <c r="O233" s="9"/>
      <c r="P233" s="9"/>
      <c r="Q233" s="10"/>
      <c r="R233" s="14">
        <f t="shared" si="25"/>
        <v>107845</v>
      </c>
      <c r="S233" s="14">
        <f t="shared" si="27"/>
        <v>67982.719360351563</v>
      </c>
      <c r="T233" s="14">
        <f t="shared" si="26"/>
        <v>141975.85131835937</v>
      </c>
      <c r="U233" s="15">
        <f t="shared" si="28"/>
        <v>-44320.722027408156</v>
      </c>
      <c r="V233" s="15">
        <f t="shared" si="29"/>
        <v>17113.711805335653</v>
      </c>
      <c r="W233" s="16">
        <f t="shared" si="23"/>
        <v>-0.78277532014849649</v>
      </c>
      <c r="X233" s="16">
        <f t="shared" si="24"/>
        <v>0.34214052952546153</v>
      </c>
    </row>
    <row r="234" spans="14:24" x14ac:dyDescent="0.25">
      <c r="N234" s="9"/>
      <c r="O234" s="9"/>
      <c r="P234" s="9"/>
      <c r="Q234" s="10"/>
      <c r="R234" s="14">
        <f t="shared" si="25"/>
        <v>108318</v>
      </c>
      <c r="S234" s="14">
        <f t="shared" si="27"/>
        <v>68280.884796142578</v>
      </c>
      <c r="T234" s="14">
        <f t="shared" si="26"/>
        <v>142598.54803466797</v>
      </c>
      <c r="U234" s="15">
        <f t="shared" si="28"/>
        <v>-64599.833619885903</v>
      </c>
      <c r="V234" s="15">
        <f t="shared" si="29"/>
        <v>70300.582357682142</v>
      </c>
      <c r="W234" s="16">
        <f t="shared" si="23"/>
        <v>-1.1408083864675413</v>
      </c>
      <c r="X234" s="16">
        <f t="shared" si="24"/>
        <v>1.4219078393289808</v>
      </c>
    </row>
    <row r="235" spans="14:24" x14ac:dyDescent="0.25">
      <c r="N235" s="9"/>
      <c r="O235" s="9"/>
      <c r="P235" s="9"/>
      <c r="Q235" s="10"/>
      <c r="R235" s="14">
        <f t="shared" si="25"/>
        <v>108791</v>
      </c>
      <c r="S235" s="14">
        <f t="shared" si="27"/>
        <v>68579.050231933594</v>
      </c>
      <c r="T235" s="14">
        <f t="shared" si="26"/>
        <v>143221.24475097656</v>
      </c>
      <c r="U235" s="15">
        <f t="shared" si="28"/>
        <v>-54354.975095676506</v>
      </c>
      <c r="V235" s="15">
        <f t="shared" si="29"/>
        <v>92515.175894355882</v>
      </c>
      <c r="W235" s="16">
        <f t="shared" si="23"/>
        <v>-0.95993270585892498</v>
      </c>
      <c r="X235" s="16">
        <f t="shared" si="24"/>
        <v>1.8728949279162903</v>
      </c>
    </row>
    <row r="236" spans="14:24" x14ac:dyDescent="0.25">
      <c r="N236" s="9"/>
      <c r="O236" s="9"/>
      <c r="P236" s="9"/>
      <c r="Q236" s="10"/>
      <c r="R236" s="14">
        <f t="shared" si="25"/>
        <v>109264</v>
      </c>
      <c r="S236" s="14">
        <f t="shared" si="27"/>
        <v>68877.215667724609</v>
      </c>
      <c r="T236" s="14">
        <f t="shared" si="26"/>
        <v>143843.94146728516</v>
      </c>
      <c r="U236" s="15">
        <f t="shared" si="28"/>
        <v>-19522.847692971358</v>
      </c>
      <c r="V236" s="15">
        <f t="shared" si="29"/>
        <v>72294.329742593152</v>
      </c>
      <c r="W236" s="16">
        <f t="shared" si="23"/>
        <v>-0.34496230523091548</v>
      </c>
      <c r="X236" s="16">
        <f t="shared" si="24"/>
        <v>1.4623836790968872</v>
      </c>
    </row>
    <row r="237" spans="14:24" x14ac:dyDescent="0.25">
      <c r="N237" s="9"/>
      <c r="O237" s="9"/>
      <c r="P237" s="9"/>
      <c r="Q237" s="10"/>
      <c r="R237" s="14">
        <f t="shared" si="25"/>
        <v>109737</v>
      </c>
      <c r="S237" s="14">
        <f t="shared" si="27"/>
        <v>69175.381103515625</v>
      </c>
      <c r="T237" s="14">
        <f t="shared" si="26"/>
        <v>144466.63818359375</v>
      </c>
      <c r="U237" s="15">
        <f t="shared" si="28"/>
        <v>22770.49350943436</v>
      </c>
      <c r="V237" s="15">
        <f t="shared" si="29"/>
        <v>17682.727809347336</v>
      </c>
      <c r="W237" s="16">
        <f t="shared" si="23"/>
        <v>0.40173779385980529</v>
      </c>
      <c r="X237" s="16">
        <f t="shared" si="24"/>
        <v>0.35369234435318569</v>
      </c>
    </row>
    <row r="238" spans="14:24" x14ac:dyDescent="0.25">
      <c r="N238" s="9"/>
      <c r="O238" s="9"/>
      <c r="P238" s="9"/>
      <c r="Q238" s="10"/>
      <c r="R238" s="14">
        <f t="shared" si="25"/>
        <v>110210</v>
      </c>
      <c r="S238" s="14">
        <f t="shared" si="27"/>
        <v>69473.546539306641</v>
      </c>
      <c r="T238" s="14">
        <f t="shared" si="26"/>
        <v>145089.33489990234</v>
      </c>
      <c r="U238" s="15">
        <f t="shared" si="28"/>
        <v>52597.981961469188</v>
      </c>
      <c r="V238" s="15">
        <f t="shared" si="29"/>
        <v>-46918.977207517004</v>
      </c>
      <c r="W238" s="16">
        <f t="shared" si="23"/>
        <v>0.92834997321381807</v>
      </c>
      <c r="X238" s="16">
        <f t="shared" si="24"/>
        <v>-0.95781195192097612</v>
      </c>
    </row>
    <row r="239" spans="14:24" x14ac:dyDescent="0.25">
      <c r="N239" s="9"/>
      <c r="O239" s="9"/>
      <c r="P239" s="9"/>
      <c r="Q239" s="10"/>
      <c r="R239" s="14">
        <f t="shared" si="25"/>
        <v>110683</v>
      </c>
      <c r="S239" s="14">
        <f t="shared" si="27"/>
        <v>69771.711975097656</v>
      </c>
      <c r="T239" s="14">
        <f t="shared" si="26"/>
        <v>145712.03161621094</v>
      </c>
      <c r="U239" s="15">
        <f t="shared" si="28"/>
        <v>56646.985071150273</v>
      </c>
      <c r="V239" s="15">
        <f t="shared" si="29"/>
        <v>-91683.797796711617</v>
      </c>
      <c r="W239" s="16">
        <f t="shared" si="23"/>
        <v>0.99983619154658776</v>
      </c>
      <c r="X239" s="16">
        <f t="shared" si="24"/>
        <v>-1.8665999554163122</v>
      </c>
    </row>
    <row r="240" spans="14:24" x14ac:dyDescent="0.25">
      <c r="N240" s="9"/>
      <c r="O240" s="9"/>
      <c r="P240" s="9"/>
      <c r="Q240" s="10"/>
      <c r="R240" s="14">
        <f t="shared" si="25"/>
        <v>111156</v>
      </c>
      <c r="S240" s="14">
        <f t="shared" si="27"/>
        <v>70069.877410888672</v>
      </c>
      <c r="T240" s="14">
        <f t="shared" si="26"/>
        <v>146334.72833251953</v>
      </c>
      <c r="U240" s="15">
        <f t="shared" si="28"/>
        <v>34202.136570435119</v>
      </c>
      <c r="V240" s="15">
        <f t="shared" si="29"/>
        <v>-95158.165275980922</v>
      </c>
      <c r="W240" s="16">
        <f t="shared" si="23"/>
        <v>0.60356646862843477</v>
      </c>
      <c r="X240" s="16">
        <f t="shared" si="24"/>
        <v>-1.9371344385960891</v>
      </c>
    </row>
    <row r="241" spans="14:24" x14ac:dyDescent="0.25">
      <c r="N241" s="9"/>
      <c r="O241" s="9"/>
      <c r="P241" s="9"/>
      <c r="Q241" s="10"/>
      <c r="R241" s="14">
        <f t="shared" si="25"/>
        <v>111629</v>
      </c>
      <c r="S241" s="14">
        <f t="shared" si="27"/>
        <v>70368.042846679688</v>
      </c>
      <c r="T241" s="14">
        <f t="shared" si="26"/>
        <v>146957.42504882812</v>
      </c>
      <c r="U241" s="15">
        <f t="shared" si="28"/>
        <v>-3011.9244502511428</v>
      </c>
      <c r="V241" s="15">
        <f t="shared" si="29"/>
        <v>-54534.647130838879</v>
      </c>
      <c r="W241" s="16">
        <f t="shared" si="23"/>
        <v>-5.3457598558149889E-2</v>
      </c>
      <c r="X241" s="16">
        <f t="shared" si="24"/>
        <v>-1.1124206239496042</v>
      </c>
    </row>
    <row r="242" spans="14:24" x14ac:dyDescent="0.25">
      <c r="N242" s="9"/>
      <c r="O242" s="9"/>
      <c r="P242" s="9"/>
      <c r="Q242" s="10"/>
      <c r="R242" s="14">
        <f t="shared" si="25"/>
        <v>112102</v>
      </c>
      <c r="S242" s="14">
        <f t="shared" si="27"/>
        <v>70666.208282470703</v>
      </c>
      <c r="T242" s="14">
        <f t="shared" si="26"/>
        <v>147580.12176513672</v>
      </c>
      <c r="U242" s="15">
        <f t="shared" si="28"/>
        <v>-36849.443783074479</v>
      </c>
      <c r="V242" s="15">
        <f t="shared" si="29"/>
        <v>12517.984450602502</v>
      </c>
      <c r="W242" s="16">
        <f t="shared" si="23"/>
        <v>-0.65086793126003073</v>
      </c>
      <c r="X242" s="16">
        <f t="shared" si="24"/>
        <v>0.24884088412657027</v>
      </c>
    </row>
    <row r="243" spans="14:24" x14ac:dyDescent="0.25">
      <c r="N243" s="9"/>
      <c r="O243" s="9"/>
      <c r="P243" s="9"/>
      <c r="Q243" s="10"/>
      <c r="R243" s="14">
        <f t="shared" si="25"/>
        <v>112575</v>
      </c>
      <c r="S243" s="14">
        <f t="shared" si="27"/>
        <v>70964.373718261719</v>
      </c>
      <c r="T243" s="14">
        <f t="shared" si="26"/>
        <v>148202.81848144531</v>
      </c>
      <c r="U243" s="15">
        <f t="shared" si="28"/>
        <v>-51575.085542684152</v>
      </c>
      <c r="V243" s="15">
        <f t="shared" si="29"/>
        <v>75550.445061783335</v>
      </c>
      <c r="W243" s="16">
        <f t="shared" si="23"/>
        <v>-0.91085302225703968</v>
      </c>
      <c r="X243" s="16">
        <f t="shared" si="24"/>
        <v>1.5284873404347303</v>
      </c>
    </row>
    <row r="244" spans="14:24" x14ac:dyDescent="0.25">
      <c r="N244" s="9"/>
      <c r="O244" s="9"/>
      <c r="P244" s="9"/>
      <c r="Q244" s="10"/>
      <c r="R244" s="14">
        <f t="shared" si="25"/>
        <v>113048</v>
      </c>
      <c r="S244" s="14">
        <f t="shared" si="27"/>
        <v>71262.539154052734</v>
      </c>
      <c r="T244" s="14">
        <f t="shared" si="26"/>
        <v>148825.51519775391</v>
      </c>
      <c r="U244" s="15">
        <f t="shared" si="28"/>
        <v>-41217.082348977718</v>
      </c>
      <c r="V244" s="15">
        <f t="shared" si="29"/>
        <v>105198.09048018462</v>
      </c>
      <c r="W244" s="16">
        <f t="shared" si="23"/>
        <v>-0.72797974265238519</v>
      </c>
      <c r="X244" s="16">
        <f t="shared" si="24"/>
        <v>2.1303757012836555</v>
      </c>
    </row>
    <row r="245" spans="14:24" x14ac:dyDescent="0.25">
      <c r="N245" s="9"/>
      <c r="O245" s="9"/>
      <c r="P245" s="9"/>
      <c r="Q245" s="10"/>
      <c r="R245" s="14">
        <f t="shared" si="25"/>
        <v>113521</v>
      </c>
      <c r="S245" s="14">
        <f t="shared" si="27"/>
        <v>71560.70458984375</v>
      </c>
      <c r="T245" s="14">
        <f t="shared" si="26"/>
        <v>149448.2119140625</v>
      </c>
      <c r="U245" s="15">
        <f t="shared" si="28"/>
        <v>-11990.62186790448</v>
      </c>
      <c r="V245" s="15">
        <f t="shared" si="29"/>
        <v>86885.348962093442</v>
      </c>
      <c r="W245" s="16">
        <f t="shared" si="23"/>
        <v>-0.21197887072205232</v>
      </c>
      <c r="X245" s="16">
        <f t="shared" si="24"/>
        <v>1.7586016254869705</v>
      </c>
    </row>
    <row r="246" spans="14:24" x14ac:dyDescent="0.25">
      <c r="N246" s="9"/>
      <c r="O246" s="9"/>
      <c r="P246" s="9"/>
      <c r="Q246" s="10"/>
      <c r="R246" s="14">
        <f t="shared" si="25"/>
        <v>113994</v>
      </c>
      <c r="S246" s="14">
        <f t="shared" si="27"/>
        <v>71858.870025634766</v>
      </c>
      <c r="T246" s="14">
        <f t="shared" si="26"/>
        <v>150070.90863037109</v>
      </c>
      <c r="U246" s="15">
        <f t="shared" si="28"/>
        <v>21193.831808693591</v>
      </c>
      <c r="V246" s="15">
        <f t="shared" si="29"/>
        <v>27962.747262351397</v>
      </c>
      <c r="W246" s="16">
        <f t="shared" si="23"/>
        <v>0.3739014154913658</v>
      </c>
      <c r="X246" s="16">
        <f t="shared" si="24"/>
        <v>0.56239101066357522</v>
      </c>
    </row>
    <row r="247" spans="14:24" x14ac:dyDescent="0.25">
      <c r="N247" s="9"/>
      <c r="O247" s="9"/>
      <c r="P247" s="9"/>
      <c r="Q247" s="10"/>
      <c r="R247" s="14">
        <f t="shared" si="25"/>
        <v>114467</v>
      </c>
      <c r="S247" s="14">
        <f t="shared" si="27"/>
        <v>72157.035461425781</v>
      </c>
      <c r="T247" s="14">
        <f t="shared" si="26"/>
        <v>150693.60534667969</v>
      </c>
      <c r="U247" s="15">
        <f t="shared" si="28"/>
        <v>42254.474316182779</v>
      </c>
      <c r="V247" s="15">
        <f t="shared" si="29"/>
        <v>-45206.799749444246</v>
      </c>
      <c r="W247" s="16">
        <f t="shared" si="23"/>
        <v>0.7457326163415342</v>
      </c>
      <c r="X247" s="16">
        <f t="shared" si="24"/>
        <v>-0.92305237256219608</v>
      </c>
    </row>
    <row r="248" spans="14:24" x14ac:dyDescent="0.25">
      <c r="N248" s="9"/>
      <c r="O248" s="9"/>
      <c r="P248" s="9"/>
      <c r="Q248" s="10"/>
      <c r="R248" s="14">
        <f t="shared" si="25"/>
        <v>114940</v>
      </c>
      <c r="S248" s="14">
        <f t="shared" si="27"/>
        <v>72455.200897216797</v>
      </c>
      <c r="T248" s="14">
        <f t="shared" si="26"/>
        <v>151316.30206298828</v>
      </c>
      <c r="U248" s="15">
        <f t="shared" si="28"/>
        <v>41730.784036963072</v>
      </c>
      <c r="V248" s="15">
        <f t="shared" si="29"/>
        <v>-99076.830085975744</v>
      </c>
      <c r="W248" s="16">
        <f t="shared" si="23"/>
        <v>0.73648672627305323</v>
      </c>
      <c r="X248" s="16">
        <f t="shared" si="24"/>
        <v>-2.0166887743930304</v>
      </c>
    </row>
    <row r="249" spans="14:24" x14ac:dyDescent="0.25">
      <c r="N249" s="9"/>
      <c r="O249" s="9"/>
      <c r="P249" s="9"/>
      <c r="Q249" s="10"/>
      <c r="R249" s="14">
        <f t="shared" si="25"/>
        <v>115413</v>
      </c>
      <c r="S249" s="14">
        <f t="shared" si="27"/>
        <v>72753.366333007813</v>
      </c>
      <c r="T249" s="14">
        <f t="shared" si="26"/>
        <v>151938.99877929687</v>
      </c>
      <c r="U249" s="15">
        <f t="shared" si="28"/>
        <v>21069.758245966248</v>
      </c>
      <c r="V249" s="15">
        <f t="shared" si="29"/>
        <v>-108339.02905940544</v>
      </c>
      <c r="W249" s="16">
        <f t="shared" si="23"/>
        <v>0.37171086400148318</v>
      </c>
      <c r="X249" s="16">
        <f t="shared" si="24"/>
        <v>-2.204724271961215</v>
      </c>
    </row>
    <row r="250" spans="14:24" x14ac:dyDescent="0.25">
      <c r="N250" s="9"/>
      <c r="O250" s="9"/>
      <c r="P250" s="9"/>
      <c r="Q250" s="10"/>
      <c r="R250" s="14">
        <f t="shared" si="25"/>
        <v>115886</v>
      </c>
      <c r="S250" s="14">
        <f t="shared" si="27"/>
        <v>73051.531768798828</v>
      </c>
      <c r="T250" s="14">
        <f t="shared" si="26"/>
        <v>152561.69549560547</v>
      </c>
      <c r="U250" s="15">
        <f t="shared" si="28"/>
        <v>-8552.6316281327672</v>
      </c>
      <c r="V250" s="15">
        <f t="shared" si="29"/>
        <v>-67829.993020234135</v>
      </c>
      <c r="W250" s="16">
        <f t="shared" si="23"/>
        <v>-0.15128024583865235</v>
      </c>
      <c r="X250" s="16">
        <f t="shared" si="24"/>
        <v>-1.3823346029976955</v>
      </c>
    </row>
    <row r="251" spans="14:24" x14ac:dyDescent="0.25">
      <c r="N251" s="9"/>
      <c r="O251" s="9"/>
      <c r="P251" s="9"/>
      <c r="Q251" s="10"/>
      <c r="R251" s="14">
        <f t="shared" si="25"/>
        <v>116359</v>
      </c>
      <c r="S251" s="14">
        <f t="shared" si="27"/>
        <v>73349.697204589844</v>
      </c>
      <c r="T251" s="14">
        <f t="shared" si="26"/>
        <v>153184.39221191406</v>
      </c>
      <c r="U251" s="15">
        <f t="shared" si="28"/>
        <v>-32114.363625395708</v>
      </c>
      <c r="V251" s="15">
        <f t="shared" si="29"/>
        <v>4686.2701848168035</v>
      </c>
      <c r="W251" s="16">
        <f t="shared" si="23"/>
        <v>-0.56726884160616986</v>
      </c>
      <c r="X251" s="16">
        <f t="shared" si="24"/>
        <v>8.984621201863989E-2</v>
      </c>
    </row>
    <row r="252" spans="14:24" x14ac:dyDescent="0.25">
      <c r="N252" s="9"/>
      <c r="O252" s="9"/>
      <c r="P252" s="9"/>
      <c r="Q252" s="10"/>
      <c r="R252" s="14">
        <f t="shared" si="25"/>
        <v>116832</v>
      </c>
      <c r="S252" s="14">
        <f t="shared" si="27"/>
        <v>73647.862640380859</v>
      </c>
      <c r="T252" s="14">
        <f t="shared" si="26"/>
        <v>153807.08892822266</v>
      </c>
      <c r="U252" s="15">
        <f t="shared" si="28"/>
        <v>-38298.192038327143</v>
      </c>
      <c r="V252" s="15">
        <f t="shared" si="29"/>
        <v>76325.006481028802</v>
      </c>
      <c r="W252" s="16">
        <f t="shared" si="23"/>
        <v>-0.67644596399519663</v>
      </c>
      <c r="X252" s="16">
        <f t="shared" si="24"/>
        <v>1.54421201254367</v>
      </c>
    </row>
    <row r="253" spans="14:24" x14ac:dyDescent="0.25">
      <c r="N253" s="9"/>
      <c r="O253" s="9"/>
      <c r="P253" s="9"/>
      <c r="Q253" s="10"/>
      <c r="R253" s="14">
        <f t="shared" si="25"/>
        <v>117305</v>
      </c>
      <c r="S253" s="14">
        <f t="shared" si="27"/>
        <v>73946.028076171875</v>
      </c>
      <c r="T253" s="14">
        <f t="shared" si="26"/>
        <v>154429.78564453125</v>
      </c>
      <c r="U253" s="15">
        <f t="shared" si="28"/>
        <v>-24942.144241235052</v>
      </c>
      <c r="V253" s="15">
        <f t="shared" si="29"/>
        <v>114038.67114926683</v>
      </c>
      <c r="W253" s="16">
        <f t="shared" si="23"/>
        <v>-0.44064141580826388</v>
      </c>
      <c r="X253" s="16">
        <f t="shared" si="24"/>
        <v>2.309851761954699</v>
      </c>
    </row>
    <row r="254" spans="14:24" x14ac:dyDescent="0.25">
      <c r="N254" s="9"/>
      <c r="O254" s="9"/>
      <c r="P254" s="9"/>
      <c r="Q254" s="10"/>
      <c r="R254" s="14">
        <f t="shared" si="25"/>
        <v>117778</v>
      </c>
      <c r="S254" s="14">
        <f t="shared" si="27"/>
        <v>74244.193511962891</v>
      </c>
      <c r="T254" s="14">
        <f t="shared" si="26"/>
        <v>155052.48236083984</v>
      </c>
      <c r="U254" s="15">
        <f t="shared" si="28"/>
        <v>240.88611147282427</v>
      </c>
      <c r="V254" s="15">
        <f t="shared" si="29"/>
        <v>99902.468959271515</v>
      </c>
      <c r="W254" s="16">
        <f t="shared" si="23"/>
        <v>3.9716302449996459E-3</v>
      </c>
      <c r="X254" s="16">
        <f t="shared" si="24"/>
        <v>2.0228672326711568</v>
      </c>
    </row>
    <row r="255" spans="14:24" x14ac:dyDescent="0.25">
      <c r="N255" s="9"/>
      <c r="O255" s="9"/>
      <c r="P255" s="9"/>
      <c r="Q255" s="10"/>
      <c r="R255" s="14">
        <f t="shared" si="25"/>
        <v>118251</v>
      </c>
      <c r="S255" s="14">
        <f t="shared" si="27"/>
        <v>74542.358947753906</v>
      </c>
      <c r="T255" s="14">
        <f t="shared" si="26"/>
        <v>155675.17907714844</v>
      </c>
      <c r="U255" s="15">
        <f t="shared" si="28"/>
        <v>23895.686822540345</v>
      </c>
      <c r="V255" s="15">
        <f t="shared" si="29"/>
        <v>39639.599665693408</v>
      </c>
      <c r="W255" s="16">
        <f t="shared" si="23"/>
        <v>0.42160337871325887</v>
      </c>
      <c r="X255" s="16">
        <f t="shared" si="24"/>
        <v>0.79944732504327332</v>
      </c>
    </row>
    <row r="256" spans="14:24" x14ac:dyDescent="0.25">
      <c r="N256" s="9"/>
      <c r="O256" s="9"/>
      <c r="P256" s="9"/>
      <c r="Q256" s="10"/>
      <c r="R256" s="14">
        <f t="shared" si="25"/>
        <v>118724</v>
      </c>
      <c r="S256" s="14">
        <f t="shared" si="27"/>
        <v>74840.524383544922</v>
      </c>
      <c r="T256" s="14">
        <f t="shared" si="26"/>
        <v>156297.87579345703</v>
      </c>
      <c r="U256" s="15">
        <f t="shared" si="28"/>
        <v>33962.897579342716</v>
      </c>
      <c r="V256" s="15">
        <f t="shared" si="29"/>
        <v>-39671.364899778593</v>
      </c>
      <c r="W256" s="16">
        <f t="shared" si="23"/>
        <v>0.59934264111147084</v>
      </c>
      <c r="X256" s="16">
        <f t="shared" si="24"/>
        <v>-0.81067536045102873</v>
      </c>
    </row>
    <row r="257" spans="14:24" x14ac:dyDescent="0.25">
      <c r="N257" s="9"/>
      <c r="O257" s="9"/>
      <c r="P257" s="9"/>
      <c r="Q257" s="10"/>
      <c r="R257" s="14">
        <f t="shared" si="25"/>
        <v>119197</v>
      </c>
      <c r="S257" s="14">
        <f t="shared" si="27"/>
        <v>75138.689819335938</v>
      </c>
      <c r="T257" s="14">
        <f t="shared" si="26"/>
        <v>156920.57250976562</v>
      </c>
      <c r="U257" s="15">
        <f t="shared" si="28"/>
        <v>25773.371833110803</v>
      </c>
      <c r="V257" s="15">
        <f t="shared" si="29"/>
        <v>-101801.66755117492</v>
      </c>
      <c r="W257" s="16">
        <f t="shared" si="23"/>
        <v>0.45475440304931608</v>
      </c>
      <c r="X257" s="16">
        <f t="shared" si="24"/>
        <v>-2.072006757739207</v>
      </c>
    </row>
    <row r="258" spans="14:24" x14ac:dyDescent="0.25">
      <c r="N258" s="9"/>
      <c r="O258" s="9"/>
      <c r="P258" s="9"/>
      <c r="Q258" s="10"/>
      <c r="R258" s="14">
        <f t="shared" si="25"/>
        <v>119670</v>
      </c>
      <c r="S258" s="14">
        <f t="shared" si="27"/>
        <v>75436.855255126953</v>
      </c>
      <c r="T258" s="14">
        <f t="shared" si="26"/>
        <v>157543.26922607422</v>
      </c>
      <c r="U258" s="15">
        <f t="shared" si="28"/>
        <v>4240.8115335661714</v>
      </c>
      <c r="V258" s="15">
        <f t="shared" si="29"/>
        <v>-117972.37966467692</v>
      </c>
      <c r="W258" s="16">
        <f t="shared" si="23"/>
        <v>7.4591369053025158E-2</v>
      </c>
      <c r="X258" s="16">
        <f t="shared" si="24"/>
        <v>-2.4002946629134461</v>
      </c>
    </row>
    <row r="259" spans="14:24" x14ac:dyDescent="0.25">
      <c r="N259" s="9"/>
      <c r="O259" s="9"/>
      <c r="P259" s="9"/>
      <c r="Q259" s="10"/>
      <c r="R259" s="14">
        <f t="shared" si="25"/>
        <v>120143</v>
      </c>
      <c r="S259" s="14">
        <f t="shared" si="27"/>
        <v>75735.020690917969</v>
      </c>
      <c r="T259" s="14">
        <f t="shared" si="26"/>
        <v>158165.96594238281</v>
      </c>
      <c r="U259" s="15">
        <f t="shared" si="28"/>
        <v>-18888.452469179654</v>
      </c>
      <c r="V259" s="15">
        <f t="shared" si="29"/>
        <v>-80220.707542816293</v>
      </c>
      <c r="W259" s="16">
        <f t="shared" si="23"/>
        <v>-0.3337618901537307</v>
      </c>
      <c r="X259" s="16">
        <f t="shared" si="24"/>
        <v>-1.6338833094293748</v>
      </c>
    </row>
    <row r="260" spans="14:24" x14ac:dyDescent="0.25">
      <c r="N260" s="9"/>
      <c r="O260" s="9"/>
      <c r="P260" s="9"/>
      <c r="Q260" s="10"/>
      <c r="R260" s="14">
        <f t="shared" si="25"/>
        <v>120616</v>
      </c>
      <c r="S260" s="14">
        <f t="shared" si="27"/>
        <v>76033.186126708984</v>
      </c>
      <c r="T260" s="14">
        <f t="shared" si="26"/>
        <v>158788.66265869141</v>
      </c>
      <c r="U260" s="15">
        <f t="shared" si="28"/>
        <v>-31253.770380442918</v>
      </c>
      <c r="V260" s="15">
        <f t="shared" si="29"/>
        <v>-5308.77843465772</v>
      </c>
      <c r="W260" s="16">
        <f t="shared" si="23"/>
        <v>-0.5520748407773467</v>
      </c>
      <c r="X260" s="16">
        <f t="shared" si="24"/>
        <v>-0.1130671507554226</v>
      </c>
    </row>
    <row r="261" spans="14:24" x14ac:dyDescent="0.25">
      <c r="N261" s="9"/>
      <c r="O261" s="9"/>
      <c r="P261" s="9"/>
      <c r="Q261" s="10"/>
      <c r="R261" s="14">
        <f t="shared" si="25"/>
        <v>121089</v>
      </c>
      <c r="S261" s="14">
        <f t="shared" si="27"/>
        <v>76331.3515625</v>
      </c>
      <c r="T261" s="14">
        <f t="shared" si="26"/>
        <v>159411.359375</v>
      </c>
      <c r="U261" s="15">
        <f t="shared" si="28"/>
        <v>-26344.175465970497</v>
      </c>
      <c r="V261" s="15">
        <f t="shared" si="29"/>
        <v>72739.161554908467</v>
      </c>
      <c r="W261" s="16">
        <f t="shared" ref="W261:W324" si="30">(U261-$W$1)/$W$2</f>
        <v>-0.46539464704218425</v>
      </c>
      <c r="X261" s="16">
        <f t="shared" ref="X261:X324" si="31">(V261-$X$1)/$X$2</f>
        <v>1.471414382432328</v>
      </c>
    </row>
    <row r="262" spans="14:24" x14ac:dyDescent="0.25">
      <c r="N262" s="9"/>
      <c r="O262" s="9"/>
      <c r="P262" s="9"/>
      <c r="Q262" s="10"/>
      <c r="R262" s="14">
        <f t="shared" ref="R262:R325" si="32">R261+a_inc</f>
        <v>121562</v>
      </c>
      <c r="S262" s="14">
        <f t="shared" si="27"/>
        <v>76629.516998291016</v>
      </c>
      <c r="T262" s="14">
        <f t="shared" ref="T262:T325" si="33">T261+t_inc</f>
        <v>160034.05609130859</v>
      </c>
      <c r="U262" s="15">
        <f t="shared" si="28"/>
        <v>-6881.6828251608913</v>
      </c>
      <c r="V262" s="15">
        <f t="shared" si="29"/>
        <v>118139.96171980075</v>
      </c>
      <c r="W262" s="16">
        <f t="shared" si="30"/>
        <v>-0.12177920380029836</v>
      </c>
      <c r="X262" s="16">
        <f t="shared" si="31"/>
        <v>2.393113654223948</v>
      </c>
    </row>
    <row r="263" spans="14:24" x14ac:dyDescent="0.25">
      <c r="N263" s="9"/>
      <c r="O263" s="9"/>
      <c r="P263" s="9"/>
      <c r="Q263" s="10"/>
      <c r="R263" s="14">
        <f t="shared" si="32"/>
        <v>122035</v>
      </c>
      <c r="S263" s="14">
        <f t="shared" ref="S263:S326" si="34">S262+b_inc</f>
        <v>76927.682434082031</v>
      </c>
      <c r="T263" s="14">
        <f t="shared" si="33"/>
        <v>160656.75280761719</v>
      </c>
      <c r="U263" s="15">
        <f t="shared" si="28"/>
        <v>16615.724347776788</v>
      </c>
      <c r="V263" s="15">
        <f t="shared" si="29"/>
        <v>109809.34044647873</v>
      </c>
      <c r="W263" s="16">
        <f t="shared" si="30"/>
        <v>0.2930737202200332</v>
      </c>
      <c r="X263" s="16">
        <f t="shared" si="31"/>
        <v>2.2239904772467676</v>
      </c>
    </row>
    <row r="264" spans="14:24" x14ac:dyDescent="0.25">
      <c r="N264" s="9"/>
      <c r="O264" s="9"/>
      <c r="P264" s="9"/>
      <c r="Q264" s="10"/>
      <c r="R264" s="14">
        <f t="shared" si="32"/>
        <v>122508</v>
      </c>
      <c r="S264" s="14">
        <f t="shared" si="34"/>
        <v>77225.847869873047</v>
      </c>
      <c r="T264" s="14">
        <f t="shared" si="33"/>
        <v>161279.44952392578</v>
      </c>
      <c r="U264" s="15">
        <f t="shared" si="28"/>
        <v>31357.43035385081</v>
      </c>
      <c r="V264" s="15">
        <f t="shared" si="29"/>
        <v>51181.834517140756</v>
      </c>
      <c r="W264" s="16">
        <f t="shared" si="30"/>
        <v>0.55334242972732595</v>
      </c>
      <c r="X264" s="16">
        <f t="shared" si="31"/>
        <v>1.0337707162343703</v>
      </c>
    </row>
    <row r="265" spans="14:24" x14ac:dyDescent="0.25">
      <c r="N265" s="9"/>
      <c r="O265" s="9"/>
      <c r="P265" s="9"/>
      <c r="Q265" s="10"/>
      <c r="R265" s="14">
        <f t="shared" si="32"/>
        <v>122981</v>
      </c>
      <c r="S265" s="14">
        <f t="shared" si="34"/>
        <v>77524.013305664063</v>
      </c>
      <c r="T265" s="14">
        <f t="shared" si="33"/>
        <v>161902.14624023438</v>
      </c>
      <c r="U265" s="15">
        <f t="shared" ref="U265:U328" si="35">(R265-S265)*COS(T265)+S265*COS((R265/S265-1)*T265)</f>
        <v>29048.28623544205</v>
      </c>
      <c r="V265" s="15">
        <f t="shared" ref="V265:V328" si="36">(R265-S265)*SIN(T265)-S265*SIN((R265/S265-1)*T265)</f>
        <v>-31193.347765124618</v>
      </c>
      <c r="W265" s="16">
        <f t="shared" si="30"/>
        <v>0.51257388099104162</v>
      </c>
      <c r="X265" s="16">
        <f t="shared" si="31"/>
        <v>-0.63855984286396139</v>
      </c>
    </row>
    <row r="266" spans="14:24" x14ac:dyDescent="0.25">
      <c r="N266" s="9"/>
      <c r="O266" s="9"/>
      <c r="P266" s="9"/>
      <c r="Q266" s="10"/>
      <c r="R266" s="14">
        <f t="shared" si="32"/>
        <v>123454</v>
      </c>
      <c r="S266" s="14">
        <f t="shared" si="34"/>
        <v>77822.178741455078</v>
      </c>
      <c r="T266" s="14">
        <f t="shared" si="33"/>
        <v>162524.84295654297</v>
      </c>
      <c r="U266" s="15">
        <f t="shared" si="35"/>
        <v>10392.007260233251</v>
      </c>
      <c r="V266" s="15">
        <f t="shared" si="36"/>
        <v>-99713.145568261156</v>
      </c>
      <c r="W266" s="16">
        <f t="shared" si="30"/>
        <v>0.18319235275509937</v>
      </c>
      <c r="X266" s="16">
        <f t="shared" si="31"/>
        <v>-2.0296068620593735</v>
      </c>
    </row>
    <row r="267" spans="14:24" x14ac:dyDescent="0.25">
      <c r="N267" s="9"/>
      <c r="O267" s="9"/>
      <c r="P267" s="9"/>
      <c r="Q267" s="10"/>
      <c r="R267" s="14">
        <f t="shared" si="32"/>
        <v>123927</v>
      </c>
      <c r="S267" s="14">
        <f t="shared" si="34"/>
        <v>78120.344177246094</v>
      </c>
      <c r="T267" s="14">
        <f t="shared" si="33"/>
        <v>163147.53967285156</v>
      </c>
      <c r="U267" s="15">
        <f t="shared" si="35"/>
        <v>-15055.05896037425</v>
      </c>
      <c r="V267" s="15">
        <f t="shared" si="36"/>
        <v>-122942.62076750898</v>
      </c>
      <c r="W267" s="16">
        <f t="shared" si="30"/>
        <v>-0.26608231621843936</v>
      </c>
      <c r="X267" s="16">
        <f t="shared" si="31"/>
        <v>-2.5011974573239186</v>
      </c>
    </row>
    <row r="268" spans="14:24" x14ac:dyDescent="0.25">
      <c r="N268" s="9"/>
      <c r="O268" s="9"/>
      <c r="P268" s="9"/>
      <c r="Q268" s="10"/>
      <c r="R268" s="14">
        <f t="shared" si="32"/>
        <v>124400</v>
      </c>
      <c r="S268" s="14">
        <f t="shared" si="34"/>
        <v>78418.509613037109</v>
      </c>
      <c r="T268" s="14">
        <f t="shared" si="33"/>
        <v>163770.23638916016</v>
      </c>
      <c r="U268" s="15">
        <f t="shared" si="35"/>
        <v>-33699.836678697706</v>
      </c>
      <c r="V268" s="15">
        <f t="shared" si="36"/>
        <v>-90085.634593458817</v>
      </c>
      <c r="W268" s="16">
        <f t="shared" si="30"/>
        <v>-0.59526078672917493</v>
      </c>
      <c r="X268" s="16">
        <f t="shared" si="31"/>
        <v>-1.8341550237126341</v>
      </c>
    </row>
    <row r="269" spans="14:24" x14ac:dyDescent="0.25">
      <c r="N269" s="9"/>
      <c r="O269" s="9"/>
      <c r="P269" s="9"/>
      <c r="Q269" s="10"/>
      <c r="R269" s="14">
        <f t="shared" si="32"/>
        <v>124873</v>
      </c>
      <c r="S269" s="14">
        <f t="shared" si="34"/>
        <v>78716.675048828125</v>
      </c>
      <c r="T269" s="14">
        <f t="shared" si="33"/>
        <v>164392.93310546875</v>
      </c>
      <c r="U269" s="15">
        <f t="shared" si="35"/>
        <v>-35001.293274325755</v>
      </c>
      <c r="V269" s="15">
        <f t="shared" si="36"/>
        <v>-16021.013550650141</v>
      </c>
      <c r="W269" s="16">
        <f t="shared" si="30"/>
        <v>-0.61823834634705777</v>
      </c>
      <c r="X269" s="16">
        <f t="shared" si="31"/>
        <v>-0.33054039505532862</v>
      </c>
    </row>
    <row r="270" spans="14:24" x14ac:dyDescent="0.25">
      <c r="N270" s="9"/>
      <c r="O270" s="9"/>
      <c r="P270" s="9"/>
      <c r="Q270" s="10"/>
      <c r="R270" s="14">
        <f t="shared" si="32"/>
        <v>125346</v>
      </c>
      <c r="S270" s="14">
        <f t="shared" si="34"/>
        <v>79014.840484619141</v>
      </c>
      <c r="T270" s="14">
        <f t="shared" si="33"/>
        <v>165015.62982177734</v>
      </c>
      <c r="U270" s="15">
        <f t="shared" si="35"/>
        <v>-17199.594648631726</v>
      </c>
      <c r="V270" s="15">
        <f t="shared" si="36"/>
        <v>65453.518227940091</v>
      </c>
      <c r="W270" s="16">
        <f t="shared" si="30"/>
        <v>-0.3039446596843266</v>
      </c>
      <c r="X270" s="16">
        <f t="shared" si="31"/>
        <v>1.3235057084747937</v>
      </c>
    </row>
    <row r="271" spans="14:24" x14ac:dyDescent="0.25">
      <c r="N271" s="9"/>
      <c r="O271" s="9"/>
      <c r="P271" s="9"/>
      <c r="Q271" s="10"/>
      <c r="R271" s="14">
        <f t="shared" si="32"/>
        <v>125819</v>
      </c>
      <c r="S271" s="14">
        <f t="shared" si="34"/>
        <v>79313.005920410156</v>
      </c>
      <c r="T271" s="14">
        <f t="shared" si="33"/>
        <v>165638.32653808594</v>
      </c>
      <c r="U271" s="15">
        <f t="shared" si="35"/>
        <v>11345.718200803531</v>
      </c>
      <c r="V271" s="15">
        <f t="shared" si="36"/>
        <v>117094.25554280542</v>
      </c>
      <c r="W271" s="16">
        <f t="shared" si="30"/>
        <v>0.20003037107149629</v>
      </c>
      <c r="X271" s="16">
        <f t="shared" si="31"/>
        <v>2.371884367111297</v>
      </c>
    </row>
    <row r="272" spans="14:24" x14ac:dyDescent="0.25">
      <c r="N272" s="9"/>
      <c r="O272" s="9"/>
      <c r="P272" s="9"/>
      <c r="Q272" s="10"/>
      <c r="R272" s="14">
        <f t="shared" si="32"/>
        <v>126292</v>
      </c>
      <c r="S272" s="14">
        <f t="shared" si="34"/>
        <v>79611.171356201172</v>
      </c>
      <c r="T272" s="14">
        <f t="shared" si="33"/>
        <v>166261.02325439453</v>
      </c>
      <c r="U272" s="15">
        <f t="shared" si="35"/>
        <v>36065.575428759461</v>
      </c>
      <c r="V272" s="15">
        <f t="shared" si="36"/>
        <v>115295.85822079986</v>
      </c>
      <c r="W272" s="16">
        <f t="shared" si="30"/>
        <v>0.63646597338738098</v>
      </c>
      <c r="X272" s="16">
        <f t="shared" si="31"/>
        <v>2.335374404818467</v>
      </c>
    </row>
    <row r="273" spans="14:24" x14ac:dyDescent="0.25">
      <c r="N273" s="9"/>
      <c r="O273" s="9"/>
      <c r="P273" s="9"/>
      <c r="Q273" s="10"/>
      <c r="R273" s="14">
        <f t="shared" si="32"/>
        <v>126765</v>
      </c>
      <c r="S273" s="14">
        <f t="shared" si="34"/>
        <v>79909.336791992188</v>
      </c>
      <c r="T273" s="14">
        <f t="shared" si="33"/>
        <v>166883.71997070312</v>
      </c>
      <c r="U273" s="15">
        <f t="shared" si="35"/>
        <v>43517.061020217312</v>
      </c>
      <c r="V273" s="15">
        <f t="shared" si="36"/>
        <v>60924.031408758616</v>
      </c>
      <c r="W273" s="16">
        <f t="shared" si="30"/>
        <v>0.76802391776653456</v>
      </c>
      <c r="X273" s="16">
        <f t="shared" si="31"/>
        <v>1.231550837907168</v>
      </c>
    </row>
    <row r="274" spans="14:24" x14ac:dyDescent="0.25">
      <c r="N274" s="9"/>
      <c r="O274" s="9"/>
      <c r="P274" s="9"/>
      <c r="Q274" s="10"/>
      <c r="R274" s="14">
        <f t="shared" si="32"/>
        <v>127238</v>
      </c>
      <c r="S274" s="14">
        <f t="shared" si="34"/>
        <v>80207.502227783203</v>
      </c>
      <c r="T274" s="14">
        <f t="shared" si="33"/>
        <v>167506.41668701172</v>
      </c>
      <c r="U274" s="15">
        <f t="shared" si="35"/>
        <v>28490.037157762243</v>
      </c>
      <c r="V274" s="15">
        <f t="shared" si="36"/>
        <v>-21093.725322667873</v>
      </c>
      <c r="W274" s="16">
        <f t="shared" si="30"/>
        <v>0.50271784621653903</v>
      </c>
      <c r="X274" s="16">
        <f t="shared" si="31"/>
        <v>-0.43352348630694543</v>
      </c>
    </row>
    <row r="275" spans="14:24" x14ac:dyDescent="0.25">
      <c r="N275" s="9"/>
      <c r="O275" s="9"/>
      <c r="P275" s="9"/>
      <c r="Q275" s="10"/>
      <c r="R275" s="14">
        <f t="shared" si="32"/>
        <v>127711</v>
      </c>
      <c r="S275" s="14">
        <f t="shared" si="34"/>
        <v>80505.667663574219</v>
      </c>
      <c r="T275" s="14">
        <f t="shared" si="33"/>
        <v>168129.11340332031</v>
      </c>
      <c r="U275" s="15">
        <f t="shared" si="35"/>
        <v>-2797.05680952478</v>
      </c>
      <c r="V275" s="15">
        <f t="shared" si="36"/>
        <v>-93229.374207085959</v>
      </c>
      <c r="W275" s="16">
        <f t="shared" si="30"/>
        <v>-4.9664053662892511E-2</v>
      </c>
      <c r="X275" s="16">
        <f t="shared" si="31"/>
        <v>-1.897977302220035</v>
      </c>
    </row>
    <row r="276" spans="14:24" x14ac:dyDescent="0.25">
      <c r="N276" s="9"/>
      <c r="O276" s="9"/>
      <c r="P276" s="9"/>
      <c r="Q276" s="10"/>
      <c r="R276" s="14">
        <f t="shared" si="32"/>
        <v>128184</v>
      </c>
      <c r="S276" s="14">
        <f t="shared" si="34"/>
        <v>80803.833099365234</v>
      </c>
      <c r="T276" s="14">
        <f t="shared" si="33"/>
        <v>168751.81011962891</v>
      </c>
      <c r="U276" s="15">
        <f t="shared" si="35"/>
        <v>-35241.957243519282</v>
      </c>
      <c r="V276" s="15">
        <f t="shared" si="36"/>
        <v>-122583.90762695309</v>
      </c>
      <c r="W276" s="16">
        <f t="shared" si="30"/>
        <v>-0.62248733222841324</v>
      </c>
      <c r="X276" s="16">
        <f t="shared" si="31"/>
        <v>-2.4939150825809264</v>
      </c>
    </row>
    <row r="277" spans="14:24" x14ac:dyDescent="0.25">
      <c r="N277" s="9"/>
      <c r="O277" s="9"/>
      <c r="P277" s="9"/>
      <c r="Q277" s="10"/>
      <c r="R277" s="14">
        <f t="shared" si="32"/>
        <v>128657</v>
      </c>
      <c r="S277" s="14">
        <f t="shared" si="34"/>
        <v>81101.99853515625</v>
      </c>
      <c r="T277" s="14">
        <f t="shared" si="33"/>
        <v>169374.5068359375</v>
      </c>
      <c r="U277" s="15">
        <f t="shared" si="35"/>
        <v>-52117.399137790213</v>
      </c>
      <c r="V277" s="15">
        <f t="shared" si="36"/>
        <v>-95949.505091649655</v>
      </c>
      <c r="W277" s="16">
        <f t="shared" si="30"/>
        <v>-0.92042771188172479</v>
      </c>
      <c r="X277" s="16">
        <f t="shared" si="31"/>
        <v>-1.9531997354453197</v>
      </c>
    </row>
    <row r="278" spans="14:24" x14ac:dyDescent="0.25">
      <c r="N278" s="9"/>
      <c r="O278" s="9"/>
      <c r="P278" s="9"/>
      <c r="Q278" s="10"/>
      <c r="R278" s="14">
        <f t="shared" si="32"/>
        <v>129130</v>
      </c>
      <c r="S278" s="14">
        <f t="shared" si="34"/>
        <v>81400.163970947266</v>
      </c>
      <c r="T278" s="14">
        <f t="shared" si="33"/>
        <v>169997.20355224609</v>
      </c>
      <c r="U278" s="15">
        <f t="shared" si="35"/>
        <v>-43567.510241856013</v>
      </c>
      <c r="V278" s="15">
        <f t="shared" si="36"/>
        <v>-25782.680011026281</v>
      </c>
      <c r="W278" s="16">
        <f t="shared" si="30"/>
        <v>-0.76947716732069171</v>
      </c>
      <c r="X278" s="16">
        <f t="shared" si="31"/>
        <v>-0.52871577600288411</v>
      </c>
    </row>
    <row r="279" spans="14:24" x14ac:dyDescent="0.25">
      <c r="N279" s="9"/>
      <c r="O279" s="9"/>
      <c r="P279" s="9"/>
      <c r="Q279" s="10"/>
      <c r="R279" s="14">
        <f t="shared" si="32"/>
        <v>129603</v>
      </c>
      <c r="S279" s="14">
        <f t="shared" si="34"/>
        <v>81698.329406738281</v>
      </c>
      <c r="T279" s="14">
        <f t="shared" si="33"/>
        <v>170619.90026855469</v>
      </c>
      <c r="U279" s="15">
        <f t="shared" si="35"/>
        <v>-12075.284109916087</v>
      </c>
      <c r="V279" s="15">
        <f t="shared" si="36"/>
        <v>55626.975934515998</v>
      </c>
      <c r="W279" s="16">
        <f t="shared" si="30"/>
        <v>-0.21347360494503004</v>
      </c>
      <c r="X279" s="16">
        <f t="shared" si="31"/>
        <v>1.12401325805137</v>
      </c>
    </row>
    <row r="280" spans="14:24" x14ac:dyDescent="0.25">
      <c r="N280" s="9"/>
      <c r="O280" s="9"/>
      <c r="P280" s="9"/>
      <c r="Q280" s="10"/>
      <c r="R280" s="14">
        <f t="shared" si="32"/>
        <v>130076</v>
      </c>
      <c r="S280" s="14">
        <f t="shared" si="34"/>
        <v>81996.494842529297</v>
      </c>
      <c r="T280" s="14">
        <f t="shared" si="33"/>
        <v>171242.59698486328</v>
      </c>
      <c r="U280" s="15">
        <f t="shared" si="35"/>
        <v>28032.142300548498</v>
      </c>
      <c r="V280" s="15">
        <f t="shared" si="36"/>
        <v>111060.7457965245</v>
      </c>
      <c r="W280" s="16">
        <f t="shared" si="30"/>
        <v>0.49463359168535087</v>
      </c>
      <c r="X280" s="16">
        <f t="shared" si="31"/>
        <v>2.2493957431377689</v>
      </c>
    </row>
    <row r="281" spans="14:24" x14ac:dyDescent="0.25">
      <c r="N281" s="9"/>
      <c r="O281" s="9"/>
      <c r="P281" s="9"/>
      <c r="Q281" s="10"/>
      <c r="R281" s="14">
        <f t="shared" si="32"/>
        <v>130549</v>
      </c>
      <c r="S281" s="14">
        <f t="shared" si="34"/>
        <v>82294.660278320313</v>
      </c>
      <c r="T281" s="14">
        <f t="shared" si="33"/>
        <v>171865.29370117188</v>
      </c>
      <c r="U281" s="15">
        <f t="shared" si="35"/>
        <v>57103.070779287613</v>
      </c>
      <c r="V281" s="15">
        <f t="shared" si="36"/>
        <v>115448.95956111522</v>
      </c>
      <c r="W281" s="16">
        <f t="shared" si="30"/>
        <v>1.0078885050734425</v>
      </c>
      <c r="X281" s="16">
        <f t="shared" si="31"/>
        <v>2.3384825745724465</v>
      </c>
    </row>
    <row r="282" spans="14:24" x14ac:dyDescent="0.25">
      <c r="N282" s="9"/>
      <c r="O282" s="9"/>
      <c r="P282" s="9"/>
      <c r="Q282" s="10"/>
      <c r="R282" s="14">
        <f t="shared" si="32"/>
        <v>131022</v>
      </c>
      <c r="S282" s="14">
        <f t="shared" si="34"/>
        <v>82592.825714111328</v>
      </c>
      <c r="T282" s="14">
        <f t="shared" si="33"/>
        <v>172487.99041748047</v>
      </c>
      <c r="U282" s="15">
        <f t="shared" si="35"/>
        <v>59738.290436851195</v>
      </c>
      <c r="V282" s="15">
        <f t="shared" si="36"/>
        <v>67259.410067977529</v>
      </c>
      <c r="W282" s="16">
        <f t="shared" si="30"/>
        <v>1.0544140034967409</v>
      </c>
      <c r="X282" s="16">
        <f t="shared" si="31"/>
        <v>1.3601678198880647</v>
      </c>
    </row>
    <row r="283" spans="14:24" x14ac:dyDescent="0.25">
      <c r="N283" s="9"/>
      <c r="O283" s="9"/>
      <c r="P283" s="9"/>
      <c r="Q283" s="10"/>
      <c r="R283" s="14">
        <f t="shared" si="32"/>
        <v>131495</v>
      </c>
      <c r="S283" s="14">
        <f t="shared" si="34"/>
        <v>82890.991149902344</v>
      </c>
      <c r="T283" s="14">
        <f t="shared" si="33"/>
        <v>173110.68713378906</v>
      </c>
      <c r="U283" s="15">
        <f t="shared" si="35"/>
        <v>32779.007689623002</v>
      </c>
      <c r="V283" s="15">
        <f t="shared" si="36"/>
        <v>-11000.311649121762</v>
      </c>
      <c r="W283" s="16">
        <f t="shared" si="30"/>
        <v>0.57844075270933326</v>
      </c>
      <c r="X283" s="16">
        <f t="shared" si="31"/>
        <v>-0.22861317637824594</v>
      </c>
    </row>
    <row r="284" spans="14:24" x14ac:dyDescent="0.25">
      <c r="N284" s="9"/>
      <c r="O284" s="9"/>
      <c r="P284" s="9"/>
      <c r="Q284" s="10"/>
      <c r="R284" s="14">
        <f t="shared" si="32"/>
        <v>131968</v>
      </c>
      <c r="S284" s="14">
        <f t="shared" si="34"/>
        <v>83189.156585693359</v>
      </c>
      <c r="T284" s="14">
        <f t="shared" si="33"/>
        <v>173733.38385009766</v>
      </c>
      <c r="U284" s="15">
        <f t="shared" si="35"/>
        <v>-12373.994989097962</v>
      </c>
      <c r="V284" s="15">
        <f t="shared" si="36"/>
        <v>-83313.969002163038</v>
      </c>
      <c r="W284" s="16">
        <f t="shared" si="30"/>
        <v>-0.21874742433936759</v>
      </c>
      <c r="X284" s="16">
        <f t="shared" si="31"/>
        <v>-1.6966808113277148</v>
      </c>
    </row>
    <row r="285" spans="14:24" x14ac:dyDescent="0.25">
      <c r="N285" s="9"/>
      <c r="O285" s="9"/>
      <c r="P285" s="9"/>
      <c r="Q285" s="10"/>
      <c r="R285" s="14">
        <f t="shared" si="32"/>
        <v>132441</v>
      </c>
      <c r="S285" s="14">
        <f t="shared" si="34"/>
        <v>83487.322021484375</v>
      </c>
      <c r="T285" s="14">
        <f t="shared" si="33"/>
        <v>174356.08056640625</v>
      </c>
      <c r="U285" s="15">
        <f t="shared" si="35"/>
        <v>-54563.723161208924</v>
      </c>
      <c r="V285" s="15">
        <f t="shared" si="36"/>
        <v>-116786.25691617976</v>
      </c>
      <c r="W285" s="16">
        <f t="shared" si="30"/>
        <v>-0.9636182080393294</v>
      </c>
      <c r="X285" s="16">
        <f t="shared" si="31"/>
        <v>-2.376214724463579</v>
      </c>
    </row>
    <row r="286" spans="14:24" x14ac:dyDescent="0.25">
      <c r="N286" s="9"/>
      <c r="O286" s="9"/>
      <c r="P286" s="9"/>
      <c r="Q286" s="10"/>
      <c r="R286" s="14">
        <f t="shared" si="32"/>
        <v>132914</v>
      </c>
      <c r="S286" s="14">
        <f t="shared" si="34"/>
        <v>83785.487457275391</v>
      </c>
      <c r="T286" s="14">
        <f t="shared" si="33"/>
        <v>174978.77728271484</v>
      </c>
      <c r="U286" s="15">
        <f t="shared" si="35"/>
        <v>-72788.401245174318</v>
      </c>
      <c r="V286" s="15">
        <f t="shared" si="36"/>
        <v>-96669.001088974503</v>
      </c>
      <c r="W286" s="16">
        <f t="shared" si="30"/>
        <v>-1.2853797086516143</v>
      </c>
      <c r="X286" s="16">
        <f t="shared" si="31"/>
        <v>-1.9678065030437486</v>
      </c>
    </row>
    <row r="287" spans="14:24" x14ac:dyDescent="0.25">
      <c r="N287" s="9"/>
      <c r="O287" s="9"/>
      <c r="P287" s="9"/>
      <c r="Q287" s="10"/>
      <c r="R287" s="14">
        <f t="shared" si="32"/>
        <v>133387</v>
      </c>
      <c r="S287" s="14">
        <f t="shared" si="34"/>
        <v>84083.652893066406</v>
      </c>
      <c r="T287" s="14">
        <f t="shared" si="33"/>
        <v>175601.47399902344</v>
      </c>
      <c r="U287" s="15">
        <f t="shared" si="35"/>
        <v>-56578.315130847099</v>
      </c>
      <c r="V287" s="15">
        <f t="shared" si="36"/>
        <v>-32892.577541645616</v>
      </c>
      <c r="W287" s="16">
        <f t="shared" si="30"/>
        <v>-0.99918636086407309</v>
      </c>
      <c r="X287" s="16">
        <f t="shared" si="31"/>
        <v>-0.67305656631239841</v>
      </c>
    </row>
    <row r="288" spans="14:24" x14ac:dyDescent="0.25">
      <c r="N288" s="9"/>
      <c r="O288" s="9"/>
      <c r="P288" s="9"/>
      <c r="Q288" s="10"/>
      <c r="R288" s="14">
        <f t="shared" si="32"/>
        <v>133860</v>
      </c>
      <c r="S288" s="14">
        <f t="shared" si="34"/>
        <v>84381.818328857422</v>
      </c>
      <c r="T288" s="14">
        <f t="shared" si="33"/>
        <v>176224.17071533203</v>
      </c>
      <c r="U288" s="15">
        <f t="shared" si="35"/>
        <v>-11741.768296133647</v>
      </c>
      <c r="V288" s="15">
        <f t="shared" si="36"/>
        <v>44805.676693093177</v>
      </c>
      <c r="W288" s="16">
        <f t="shared" si="30"/>
        <v>-0.20758529524616179</v>
      </c>
      <c r="X288" s="16">
        <f t="shared" si="31"/>
        <v>0.90432586059507247</v>
      </c>
    </row>
    <row r="289" spans="14:24" x14ac:dyDescent="0.25">
      <c r="N289" s="9"/>
      <c r="O289" s="9"/>
      <c r="P289" s="9"/>
      <c r="Q289" s="10"/>
      <c r="R289" s="14">
        <f t="shared" si="32"/>
        <v>134333</v>
      </c>
      <c r="S289" s="14">
        <f t="shared" si="34"/>
        <v>84679.983764648438</v>
      </c>
      <c r="T289" s="14">
        <f t="shared" si="33"/>
        <v>176846.86743164062</v>
      </c>
      <c r="U289" s="15">
        <f t="shared" si="35"/>
        <v>41579.208474877021</v>
      </c>
      <c r="V289" s="15">
        <f t="shared" si="36"/>
        <v>100778.81070925902</v>
      </c>
      <c r="W289" s="16">
        <f t="shared" si="30"/>
        <v>0.73381061972739803</v>
      </c>
      <c r="X289" s="16">
        <f t="shared" si="31"/>
        <v>2.0406581867924607</v>
      </c>
    </row>
    <row r="290" spans="14:24" x14ac:dyDescent="0.25">
      <c r="N290" s="9"/>
      <c r="O290" s="9"/>
      <c r="P290" s="9"/>
      <c r="Q290" s="10"/>
      <c r="R290" s="14">
        <f t="shared" si="32"/>
        <v>134806</v>
      </c>
      <c r="S290" s="14">
        <f t="shared" si="34"/>
        <v>84978.149200439453</v>
      </c>
      <c r="T290" s="14">
        <f t="shared" si="33"/>
        <v>177469.56414794922</v>
      </c>
      <c r="U290" s="15">
        <f t="shared" si="35"/>
        <v>77971.40998869903</v>
      </c>
      <c r="V290" s="15">
        <f t="shared" si="36"/>
        <v>109885.39618346604</v>
      </c>
      <c r="W290" s="16">
        <f t="shared" si="30"/>
        <v>1.3763245404519842</v>
      </c>
      <c r="X290" s="16">
        <f t="shared" si="31"/>
        <v>2.2255345142932992</v>
      </c>
    </row>
    <row r="291" spans="14:24" x14ac:dyDescent="0.25">
      <c r="N291" s="9"/>
      <c r="O291" s="9"/>
      <c r="P291" s="9"/>
      <c r="Q291" s="10"/>
      <c r="R291" s="14">
        <f t="shared" si="32"/>
        <v>135279</v>
      </c>
      <c r="S291" s="14">
        <f t="shared" si="34"/>
        <v>85276.314636230469</v>
      </c>
      <c r="T291" s="14">
        <f t="shared" si="33"/>
        <v>178092.26086425781</v>
      </c>
      <c r="U291" s="15">
        <f t="shared" si="35"/>
        <v>78847.606229893208</v>
      </c>
      <c r="V291" s="15">
        <f t="shared" si="36"/>
        <v>68836.899632239642</v>
      </c>
      <c r="W291" s="16">
        <f t="shared" si="30"/>
        <v>1.3917940162966922</v>
      </c>
      <c r="X291" s="16">
        <f t="shared" si="31"/>
        <v>1.3921930480196958</v>
      </c>
    </row>
    <row r="292" spans="14:24" x14ac:dyDescent="0.25">
      <c r="N292" s="9"/>
      <c r="O292" s="9"/>
      <c r="P292" s="9"/>
      <c r="Q292" s="10"/>
      <c r="R292" s="14">
        <f t="shared" si="32"/>
        <v>135752</v>
      </c>
      <c r="S292" s="14">
        <f t="shared" si="34"/>
        <v>85574.480072021484</v>
      </c>
      <c r="T292" s="14">
        <f t="shared" si="33"/>
        <v>178714.95758056641</v>
      </c>
      <c r="U292" s="15">
        <f t="shared" si="35"/>
        <v>41825.726255312635</v>
      </c>
      <c r="V292" s="15">
        <f t="shared" si="36"/>
        <v>-2668.9866704883025</v>
      </c>
      <c r="W292" s="16">
        <f t="shared" si="30"/>
        <v>0.73816295619090799</v>
      </c>
      <c r="X292" s="16">
        <f t="shared" si="31"/>
        <v>-5.9475713206312161E-2</v>
      </c>
    </row>
    <row r="293" spans="14:24" x14ac:dyDescent="0.25">
      <c r="N293" s="9"/>
      <c r="O293" s="9"/>
      <c r="P293" s="9"/>
      <c r="Q293" s="10"/>
      <c r="R293" s="14">
        <f t="shared" si="32"/>
        <v>136225</v>
      </c>
      <c r="S293" s="14">
        <f t="shared" si="34"/>
        <v>85872.6455078125</v>
      </c>
      <c r="T293" s="14">
        <f t="shared" si="33"/>
        <v>179337.654296875</v>
      </c>
      <c r="U293" s="15">
        <f t="shared" si="35"/>
        <v>-17298.182476879098</v>
      </c>
      <c r="V293" s="15">
        <f t="shared" si="36"/>
        <v>-71390.963014820474</v>
      </c>
      <c r="W293" s="16">
        <f t="shared" si="30"/>
        <v>-0.30568525380691308</v>
      </c>
      <c r="X293" s="16">
        <f t="shared" si="31"/>
        <v>-1.4546272374658444</v>
      </c>
    </row>
    <row r="294" spans="14:24" x14ac:dyDescent="0.25">
      <c r="N294" s="9"/>
      <c r="O294" s="9"/>
      <c r="P294" s="9"/>
      <c r="Q294" s="10"/>
      <c r="R294" s="14">
        <f t="shared" si="32"/>
        <v>136698</v>
      </c>
      <c r="S294" s="14">
        <f t="shared" si="34"/>
        <v>86170.810943603516</v>
      </c>
      <c r="T294" s="14">
        <f t="shared" si="33"/>
        <v>179960.35101318359</v>
      </c>
      <c r="U294" s="15">
        <f t="shared" si="35"/>
        <v>-71281.270864239093</v>
      </c>
      <c r="V294" s="15">
        <f t="shared" si="36"/>
        <v>-106040.52874076599</v>
      </c>
      <c r="W294" s="16">
        <f t="shared" si="30"/>
        <v>-1.25877092408193</v>
      </c>
      <c r="X294" s="16">
        <f t="shared" si="31"/>
        <v>-2.158061524560102</v>
      </c>
    </row>
    <row r="295" spans="14:24" x14ac:dyDescent="0.25">
      <c r="N295" s="9"/>
      <c r="O295" s="9"/>
      <c r="P295" s="9"/>
      <c r="Q295" s="10"/>
      <c r="R295" s="14">
        <f t="shared" si="32"/>
        <v>137171</v>
      </c>
      <c r="S295" s="14">
        <f t="shared" si="34"/>
        <v>86468.976379394531</v>
      </c>
      <c r="T295" s="14">
        <f t="shared" si="33"/>
        <v>180583.04772949219</v>
      </c>
      <c r="U295" s="15">
        <f t="shared" si="35"/>
        <v>-94005.635122897002</v>
      </c>
      <c r="V295" s="15">
        <f t="shared" si="36"/>
        <v>-91589.638914183859</v>
      </c>
      <c r="W295" s="16">
        <f t="shared" si="30"/>
        <v>-1.6599755714638282</v>
      </c>
      <c r="X295" s="16">
        <f t="shared" si="31"/>
        <v>-1.8646883993833052</v>
      </c>
    </row>
    <row r="296" spans="14:24" x14ac:dyDescent="0.25">
      <c r="N296" s="9"/>
      <c r="O296" s="9"/>
      <c r="P296" s="9"/>
      <c r="Q296" s="10"/>
      <c r="R296" s="14">
        <f t="shared" si="32"/>
        <v>137644</v>
      </c>
      <c r="S296" s="14">
        <f t="shared" si="34"/>
        <v>86767.141815185547</v>
      </c>
      <c r="T296" s="14">
        <f t="shared" si="33"/>
        <v>181205.74444580078</v>
      </c>
      <c r="U296" s="15">
        <f t="shared" si="35"/>
        <v>-73080.652839939474</v>
      </c>
      <c r="V296" s="15">
        <f t="shared" si="36"/>
        <v>-35819.445620387734</v>
      </c>
      <c r="W296" s="16">
        <f t="shared" si="30"/>
        <v>-1.2905394876751299</v>
      </c>
      <c r="X296" s="16">
        <f t="shared" si="31"/>
        <v>-0.73247605158598239</v>
      </c>
    </row>
    <row r="297" spans="14:24" x14ac:dyDescent="0.25">
      <c r="N297" s="9"/>
      <c r="O297" s="9"/>
      <c r="P297" s="9"/>
      <c r="Q297" s="10"/>
      <c r="R297" s="14">
        <f t="shared" si="32"/>
        <v>138117</v>
      </c>
      <c r="S297" s="14">
        <f t="shared" si="34"/>
        <v>87065.307250976563</v>
      </c>
      <c r="T297" s="14">
        <f t="shared" si="33"/>
        <v>181828.44116210938</v>
      </c>
      <c r="U297" s="15">
        <f t="shared" si="35"/>
        <v>-16408.688155967633</v>
      </c>
      <c r="V297" s="15">
        <f t="shared" si="36"/>
        <v>34758.489225414487</v>
      </c>
      <c r="W297" s="16">
        <f t="shared" si="30"/>
        <v>-0.2899809968557634</v>
      </c>
      <c r="X297" s="16">
        <f t="shared" si="31"/>
        <v>0.70035400681980964</v>
      </c>
    </row>
    <row r="298" spans="14:24" x14ac:dyDescent="0.25">
      <c r="N298" s="9"/>
      <c r="O298" s="9"/>
      <c r="P298" s="9"/>
      <c r="Q298" s="10"/>
      <c r="R298" s="14">
        <f t="shared" si="32"/>
        <v>138590</v>
      </c>
      <c r="S298" s="14">
        <f t="shared" si="34"/>
        <v>87363.472686767578</v>
      </c>
      <c r="T298" s="14">
        <f t="shared" si="33"/>
        <v>182451.13787841797</v>
      </c>
      <c r="U298" s="15">
        <f t="shared" si="35"/>
        <v>50694.932232196683</v>
      </c>
      <c r="V298" s="15">
        <f t="shared" si="36"/>
        <v>87511.875238786859</v>
      </c>
      <c r="W298" s="16">
        <f t="shared" si="30"/>
        <v>0.89475112807595691</v>
      </c>
      <c r="X298" s="16">
        <f t="shared" si="31"/>
        <v>1.7713209786897626</v>
      </c>
    </row>
    <row r="299" spans="14:24" x14ac:dyDescent="0.25">
      <c r="N299" s="9"/>
      <c r="O299" s="9"/>
      <c r="P299" s="9"/>
      <c r="Q299" s="10"/>
      <c r="R299" s="14">
        <f t="shared" si="32"/>
        <v>139063</v>
      </c>
      <c r="S299" s="14">
        <f t="shared" si="34"/>
        <v>87661.638122558594</v>
      </c>
      <c r="T299" s="14">
        <f t="shared" si="33"/>
        <v>183073.83459472656</v>
      </c>
      <c r="U299" s="15">
        <f t="shared" si="35"/>
        <v>96835.053548191354</v>
      </c>
      <c r="V299" s="15">
        <f t="shared" si="36"/>
        <v>98828.252773274464</v>
      </c>
      <c r="W299" s="16">
        <f t="shared" si="30"/>
        <v>1.7093671451418153</v>
      </c>
      <c r="X299" s="16">
        <f t="shared" si="31"/>
        <v>2.0010591527962589</v>
      </c>
    </row>
    <row r="300" spans="14:24" x14ac:dyDescent="0.25">
      <c r="N300" s="9"/>
      <c r="O300" s="9"/>
      <c r="P300" s="9"/>
      <c r="Q300" s="10"/>
      <c r="R300" s="14">
        <f t="shared" si="32"/>
        <v>139536</v>
      </c>
      <c r="S300" s="14">
        <f t="shared" si="34"/>
        <v>87959.803558349609</v>
      </c>
      <c r="T300" s="14">
        <f t="shared" si="33"/>
        <v>183696.53131103516</v>
      </c>
      <c r="U300" s="15">
        <f t="shared" si="35"/>
        <v>99238.441376693925</v>
      </c>
      <c r="V300" s="15">
        <f t="shared" si="36"/>
        <v>64738.870495615767</v>
      </c>
      <c r="W300" s="16">
        <f t="shared" si="30"/>
        <v>1.7517995914483799</v>
      </c>
      <c r="X300" s="16">
        <f t="shared" si="31"/>
        <v>1.3089973673865629</v>
      </c>
    </row>
    <row r="301" spans="14:24" x14ac:dyDescent="0.25">
      <c r="N301" s="9"/>
      <c r="O301" s="9"/>
      <c r="P301" s="9"/>
      <c r="Q301" s="10"/>
      <c r="R301" s="14">
        <f t="shared" si="32"/>
        <v>140009</v>
      </c>
      <c r="S301" s="14">
        <f t="shared" si="34"/>
        <v>88257.968994140625</v>
      </c>
      <c r="T301" s="14">
        <f t="shared" si="33"/>
        <v>184319.22802734375</v>
      </c>
      <c r="U301" s="15">
        <f t="shared" si="35"/>
        <v>54933.644543772403</v>
      </c>
      <c r="V301" s="15">
        <f t="shared" si="36"/>
        <v>2220.9950859036398</v>
      </c>
      <c r="W301" s="16">
        <f t="shared" si="30"/>
        <v>0.96958671242772287</v>
      </c>
      <c r="X301" s="16">
        <f t="shared" si="31"/>
        <v>3.9797705050003573E-2</v>
      </c>
    </row>
    <row r="302" spans="14:24" x14ac:dyDescent="0.25">
      <c r="N302" s="9"/>
      <c r="O302" s="9"/>
      <c r="P302" s="9"/>
      <c r="Q302" s="10"/>
      <c r="R302" s="14">
        <f t="shared" si="32"/>
        <v>140482</v>
      </c>
      <c r="S302" s="14">
        <f t="shared" si="34"/>
        <v>88556.134429931641</v>
      </c>
      <c r="T302" s="14">
        <f t="shared" si="33"/>
        <v>184941.92474365234</v>
      </c>
      <c r="U302" s="15">
        <f t="shared" si="35"/>
        <v>-17055.374714561072</v>
      </c>
      <c r="V302" s="15">
        <f t="shared" si="36"/>
        <v>-59199.200990634665</v>
      </c>
      <c r="W302" s="16">
        <f t="shared" si="30"/>
        <v>-0.30139841869225076</v>
      </c>
      <c r="X302" s="16">
        <f t="shared" si="31"/>
        <v>-1.2071175429508503</v>
      </c>
    </row>
    <row r="303" spans="14:24" x14ac:dyDescent="0.25">
      <c r="N303" s="9"/>
      <c r="O303" s="9"/>
      <c r="P303" s="9"/>
      <c r="Q303" s="10"/>
      <c r="R303" s="14">
        <f t="shared" si="32"/>
        <v>140955</v>
      </c>
      <c r="S303" s="14">
        <f t="shared" si="34"/>
        <v>88854.299865722656</v>
      </c>
      <c r="T303" s="14">
        <f t="shared" si="33"/>
        <v>185564.62145996094</v>
      </c>
      <c r="U303" s="15">
        <f t="shared" si="35"/>
        <v>-83878.922284382046</v>
      </c>
      <c r="V303" s="15">
        <f t="shared" si="36"/>
        <v>-91413.572411352623</v>
      </c>
      <c r="W303" s="16">
        <f t="shared" si="30"/>
        <v>-1.4811857841118592</v>
      </c>
      <c r="X303" s="16">
        <f t="shared" si="31"/>
        <v>-1.8611140049484702</v>
      </c>
    </row>
    <row r="304" spans="14:24" x14ac:dyDescent="0.25">
      <c r="N304" s="9"/>
      <c r="O304" s="9"/>
      <c r="P304" s="9"/>
      <c r="Q304" s="10"/>
      <c r="R304" s="14">
        <f t="shared" si="32"/>
        <v>141428</v>
      </c>
      <c r="S304" s="14">
        <f t="shared" si="34"/>
        <v>89152.465301513672</v>
      </c>
      <c r="T304" s="14">
        <f t="shared" si="33"/>
        <v>186187.31817626953</v>
      </c>
      <c r="U304" s="15">
        <f t="shared" si="35"/>
        <v>-113886.34897570583</v>
      </c>
      <c r="V304" s="15">
        <f t="shared" si="36"/>
        <v>-80652.838577769056</v>
      </c>
      <c r="W304" s="16">
        <f t="shared" si="30"/>
        <v>-2.0109748205617501</v>
      </c>
      <c r="X304" s="16">
        <f t="shared" si="31"/>
        <v>-1.6426561693522823</v>
      </c>
    </row>
    <row r="305" spans="14:24" x14ac:dyDescent="0.25">
      <c r="N305" s="9"/>
      <c r="O305" s="9"/>
      <c r="P305" s="9"/>
      <c r="Q305" s="10"/>
      <c r="R305" s="14">
        <f t="shared" si="32"/>
        <v>141901</v>
      </c>
      <c r="S305" s="14">
        <f t="shared" si="34"/>
        <v>89450.630737304688</v>
      </c>
      <c r="T305" s="14">
        <f t="shared" si="33"/>
        <v>186810.01489257812</v>
      </c>
      <c r="U305" s="15">
        <f t="shared" si="35"/>
        <v>-91618.50475451519</v>
      </c>
      <c r="V305" s="15">
        <f t="shared" si="36"/>
        <v>-33396.63208292429</v>
      </c>
      <c r="W305" s="16">
        <f t="shared" si="30"/>
        <v>-1.6178301549056353</v>
      </c>
      <c r="X305" s="16">
        <f t="shared" si="31"/>
        <v>-0.68328957326277084</v>
      </c>
    </row>
    <row r="306" spans="14:24" x14ac:dyDescent="0.25">
      <c r="N306" s="9"/>
      <c r="O306" s="9"/>
      <c r="P306" s="9"/>
      <c r="Q306" s="10"/>
      <c r="R306" s="14">
        <f t="shared" si="32"/>
        <v>142374</v>
      </c>
      <c r="S306" s="14">
        <f t="shared" si="34"/>
        <v>89748.796173095703</v>
      </c>
      <c r="T306" s="14">
        <f t="shared" si="33"/>
        <v>187432.71160888672</v>
      </c>
      <c r="U306" s="15">
        <f t="shared" si="35"/>
        <v>-25665.23049915423</v>
      </c>
      <c r="V306" s="15">
        <f t="shared" si="36"/>
        <v>27276.21885634731</v>
      </c>
      <c r="W306" s="16">
        <f t="shared" si="30"/>
        <v>-0.45340769449633017</v>
      </c>
      <c r="X306" s="16">
        <f t="shared" si="31"/>
        <v>0.54845353093678517</v>
      </c>
    </row>
    <row r="307" spans="14:24" x14ac:dyDescent="0.25">
      <c r="N307" s="9"/>
      <c r="O307" s="9"/>
      <c r="P307" s="9"/>
      <c r="Q307" s="10"/>
      <c r="R307" s="14">
        <f t="shared" si="32"/>
        <v>142847</v>
      </c>
      <c r="S307" s="14">
        <f t="shared" si="34"/>
        <v>90046.961608886719</v>
      </c>
      <c r="T307" s="14">
        <f t="shared" si="33"/>
        <v>188055.40832519531</v>
      </c>
      <c r="U307" s="15">
        <f t="shared" si="35"/>
        <v>54564.556423418573</v>
      </c>
      <c r="V307" s="15">
        <f t="shared" si="36"/>
        <v>72925.030454112319</v>
      </c>
      <c r="W307" s="16">
        <f t="shared" si="30"/>
        <v>0.96307036426968851</v>
      </c>
      <c r="X307" s="16">
        <f t="shared" si="31"/>
        <v>1.475187779121873</v>
      </c>
    </row>
    <row r="308" spans="14:24" x14ac:dyDescent="0.25">
      <c r="N308" s="9"/>
      <c r="O308" s="9"/>
      <c r="P308" s="9"/>
      <c r="Q308" s="10"/>
      <c r="R308" s="14">
        <f t="shared" si="32"/>
        <v>143320</v>
      </c>
      <c r="S308" s="14">
        <f t="shared" si="34"/>
        <v>90345.127044677734</v>
      </c>
      <c r="T308" s="14">
        <f t="shared" si="33"/>
        <v>188678.10504150391</v>
      </c>
      <c r="U308" s="15">
        <f t="shared" si="35"/>
        <v>111990.50347152712</v>
      </c>
      <c r="V308" s="15">
        <f t="shared" si="36"/>
        <v>83114.97378017052</v>
      </c>
      <c r="W308" s="16">
        <f t="shared" si="30"/>
        <v>1.976940612685107</v>
      </c>
      <c r="X308" s="16">
        <f t="shared" si="31"/>
        <v>1.6820577750055239</v>
      </c>
    </row>
    <row r="309" spans="14:24" x14ac:dyDescent="0.25">
      <c r="N309" s="9"/>
      <c r="O309" s="9"/>
      <c r="P309" s="9"/>
      <c r="Q309" s="10"/>
      <c r="R309" s="14">
        <f t="shared" si="32"/>
        <v>143793</v>
      </c>
      <c r="S309" s="14">
        <f t="shared" si="34"/>
        <v>90643.29248046875</v>
      </c>
      <c r="T309" s="14">
        <f t="shared" si="33"/>
        <v>189300.8017578125</v>
      </c>
      <c r="U309" s="15">
        <f t="shared" si="35"/>
        <v>119033.34392425703</v>
      </c>
      <c r="V309" s="15">
        <f t="shared" si="36"/>
        <v>54616.94183613683</v>
      </c>
      <c r="W309" s="16">
        <f t="shared" si="30"/>
        <v>2.1012838193087169</v>
      </c>
      <c r="X309" s="16">
        <f t="shared" si="31"/>
        <v>1.1035081636570057</v>
      </c>
    </row>
    <row r="310" spans="14:24" x14ac:dyDescent="0.25">
      <c r="N310" s="9"/>
      <c r="O310" s="9"/>
      <c r="P310" s="9"/>
      <c r="Q310" s="10"/>
      <c r="R310" s="14">
        <f t="shared" si="32"/>
        <v>144266</v>
      </c>
      <c r="S310" s="14">
        <f t="shared" si="34"/>
        <v>90941.457916259766</v>
      </c>
      <c r="T310" s="14">
        <f t="shared" si="33"/>
        <v>189923.49847412109</v>
      </c>
      <c r="U310" s="15">
        <f t="shared" si="35"/>
        <v>70844.09454992511</v>
      </c>
      <c r="V310" s="15">
        <f t="shared" si="36"/>
        <v>2274.1296569699989</v>
      </c>
      <c r="W310" s="16">
        <f t="shared" si="30"/>
        <v>1.2504899056589167</v>
      </c>
      <c r="X310" s="16">
        <f t="shared" si="31"/>
        <v>4.0876410607635881E-2</v>
      </c>
    </row>
    <row r="311" spans="14:24" x14ac:dyDescent="0.25">
      <c r="N311" s="9"/>
      <c r="O311" s="9"/>
      <c r="P311" s="9"/>
      <c r="Q311" s="10"/>
      <c r="R311" s="14">
        <f t="shared" si="32"/>
        <v>144739</v>
      </c>
      <c r="S311" s="14">
        <f t="shared" si="34"/>
        <v>91239.623352050781</v>
      </c>
      <c r="T311" s="14">
        <f t="shared" si="33"/>
        <v>190546.19519042969</v>
      </c>
      <c r="U311" s="15">
        <f t="shared" si="35"/>
        <v>-11749.585495039457</v>
      </c>
      <c r="V311" s="15">
        <f t="shared" si="36"/>
        <v>-48600.725862177176</v>
      </c>
      <c r="W311" s="16">
        <f t="shared" si="30"/>
        <v>-0.20772330995560848</v>
      </c>
      <c r="X311" s="16">
        <f t="shared" si="31"/>
        <v>-0.99195378432716919</v>
      </c>
    </row>
    <row r="312" spans="14:24" x14ac:dyDescent="0.25">
      <c r="N312" s="9"/>
      <c r="O312" s="9"/>
      <c r="P312" s="9"/>
      <c r="Q312" s="10"/>
      <c r="R312" s="14">
        <f t="shared" si="32"/>
        <v>145212</v>
      </c>
      <c r="S312" s="14">
        <f t="shared" si="34"/>
        <v>91537.788787841797</v>
      </c>
      <c r="T312" s="14">
        <f t="shared" si="33"/>
        <v>191168.89190673828</v>
      </c>
      <c r="U312" s="15">
        <f t="shared" si="35"/>
        <v>-91255.208391816923</v>
      </c>
      <c r="V312" s="15">
        <f t="shared" si="36"/>
        <v>-74452.921876562017</v>
      </c>
      <c r="W312" s="16">
        <f t="shared" si="30"/>
        <v>-1.611416061757311</v>
      </c>
      <c r="X312" s="16">
        <f t="shared" si="31"/>
        <v>-1.5167892531764275</v>
      </c>
    </row>
    <row r="313" spans="14:24" x14ac:dyDescent="0.25">
      <c r="N313" s="9"/>
      <c r="O313" s="9"/>
      <c r="P313" s="9"/>
      <c r="Q313" s="10"/>
      <c r="R313" s="14">
        <f t="shared" si="32"/>
        <v>145685</v>
      </c>
      <c r="S313" s="14">
        <f t="shared" si="34"/>
        <v>91835.954223632813</v>
      </c>
      <c r="T313" s="14">
        <f t="shared" si="33"/>
        <v>191791.58862304687</v>
      </c>
      <c r="U313" s="15">
        <f t="shared" si="35"/>
        <v>-130582.16112990445</v>
      </c>
      <c r="V313" s="15">
        <f t="shared" si="36"/>
        <v>-64437.624239191573</v>
      </c>
      <c r="W313" s="16">
        <f t="shared" si="30"/>
        <v>-2.3057437897542585</v>
      </c>
      <c r="X313" s="16">
        <f t="shared" si="31"/>
        <v>-1.3134648072280293</v>
      </c>
    </row>
    <row r="314" spans="14:24" x14ac:dyDescent="0.25">
      <c r="N314" s="9"/>
      <c r="O314" s="9"/>
      <c r="P314" s="9"/>
      <c r="Q314" s="10"/>
      <c r="R314" s="14">
        <f t="shared" si="32"/>
        <v>146158</v>
      </c>
      <c r="S314" s="14">
        <f t="shared" si="34"/>
        <v>92134.119659423828</v>
      </c>
      <c r="T314" s="14">
        <f t="shared" si="33"/>
        <v>192414.28533935547</v>
      </c>
      <c r="U314" s="15">
        <f t="shared" si="35"/>
        <v>-110373.58892896361</v>
      </c>
      <c r="V314" s="15">
        <f t="shared" si="36"/>
        <v>-24984.018899971459</v>
      </c>
      <c r="W314" s="16">
        <f t="shared" si="30"/>
        <v>-1.9489561150063912</v>
      </c>
      <c r="X314" s="16">
        <f t="shared" si="31"/>
        <v>-0.51250184669340137</v>
      </c>
    </row>
    <row r="315" spans="14:24" x14ac:dyDescent="0.25">
      <c r="N315" s="9"/>
      <c r="O315" s="9"/>
      <c r="P315" s="9"/>
      <c r="Q315" s="10"/>
      <c r="R315" s="14">
        <f t="shared" si="32"/>
        <v>146631</v>
      </c>
      <c r="S315" s="14">
        <f t="shared" si="34"/>
        <v>92432.285095214844</v>
      </c>
      <c r="T315" s="14">
        <f t="shared" si="33"/>
        <v>193036.98205566406</v>
      </c>
      <c r="U315" s="15">
        <f t="shared" si="35"/>
        <v>-38491.937289076443</v>
      </c>
      <c r="V315" s="15">
        <f t="shared" si="36"/>
        <v>23956.975404098783</v>
      </c>
      <c r="W315" s="16">
        <f t="shared" si="30"/>
        <v>-0.6798665875217349</v>
      </c>
      <c r="X315" s="16">
        <f t="shared" si="31"/>
        <v>0.48106828085913761</v>
      </c>
    </row>
    <row r="316" spans="14:24" x14ac:dyDescent="0.25">
      <c r="N316" s="9"/>
      <c r="O316" s="9"/>
      <c r="P316" s="9"/>
      <c r="Q316" s="10"/>
      <c r="R316" s="14">
        <f t="shared" si="32"/>
        <v>147104</v>
      </c>
      <c r="S316" s="14">
        <f t="shared" si="34"/>
        <v>92730.450531005859</v>
      </c>
      <c r="T316" s="14">
        <f t="shared" si="33"/>
        <v>193659.67877197266</v>
      </c>
      <c r="U316" s="15">
        <f t="shared" si="35"/>
        <v>52973.349118368118</v>
      </c>
      <c r="V316" s="15">
        <f t="shared" si="36"/>
        <v>58907.803512559789</v>
      </c>
      <c r="W316" s="16">
        <f t="shared" si="30"/>
        <v>0.93497717941893788</v>
      </c>
      <c r="X316" s="16">
        <f t="shared" si="31"/>
        <v>1.1906186125511611</v>
      </c>
    </row>
    <row r="317" spans="14:24" x14ac:dyDescent="0.25">
      <c r="N317" s="9"/>
      <c r="O317" s="9"/>
      <c r="P317" s="9"/>
      <c r="Q317" s="10"/>
      <c r="R317" s="14">
        <f t="shared" si="32"/>
        <v>147577</v>
      </c>
      <c r="S317" s="14">
        <f t="shared" si="34"/>
        <v>93028.615966796875</v>
      </c>
      <c r="T317" s="14">
        <f t="shared" si="33"/>
        <v>194282.37548828125</v>
      </c>
      <c r="U317" s="15">
        <f t="shared" si="35"/>
        <v>122072.74252434738</v>
      </c>
      <c r="V317" s="15">
        <f t="shared" si="36"/>
        <v>64132.404468019762</v>
      </c>
      <c r="W317" s="16">
        <f t="shared" si="30"/>
        <v>2.1549452036151089</v>
      </c>
      <c r="X317" s="16">
        <f t="shared" si="31"/>
        <v>1.2966852650894354</v>
      </c>
    </row>
    <row r="318" spans="14:24" x14ac:dyDescent="0.25">
      <c r="N318" s="9"/>
      <c r="O318" s="9"/>
      <c r="P318" s="9"/>
      <c r="Q318" s="10"/>
      <c r="R318" s="14">
        <f t="shared" si="32"/>
        <v>148050</v>
      </c>
      <c r="S318" s="14">
        <f t="shared" si="34"/>
        <v>93326.781402587891</v>
      </c>
      <c r="T318" s="14">
        <f t="shared" si="33"/>
        <v>194905.07220458984</v>
      </c>
      <c r="U318" s="15">
        <f t="shared" si="35"/>
        <v>136287.5572087543</v>
      </c>
      <c r="V318" s="15">
        <f t="shared" si="36"/>
        <v>38767.296249859748</v>
      </c>
      <c r="W318" s="16">
        <f t="shared" si="30"/>
        <v>2.4059115078048361</v>
      </c>
      <c r="X318" s="16">
        <f t="shared" si="31"/>
        <v>0.78173835471157982</v>
      </c>
    </row>
    <row r="319" spans="14:24" x14ac:dyDescent="0.25">
      <c r="N319" s="9"/>
      <c r="O319" s="9"/>
      <c r="P319" s="9"/>
      <c r="Q319" s="10"/>
      <c r="R319" s="14">
        <f t="shared" si="32"/>
        <v>148523</v>
      </c>
      <c r="S319" s="14">
        <f t="shared" si="34"/>
        <v>93624.946838378906</v>
      </c>
      <c r="T319" s="14">
        <f t="shared" si="33"/>
        <v>195527.76892089844</v>
      </c>
      <c r="U319" s="15">
        <f t="shared" si="35"/>
        <v>87851.2183510865</v>
      </c>
      <c r="V319" s="15">
        <f t="shared" si="36"/>
        <v>-3436.6774600642893</v>
      </c>
      <c r="W319" s="16">
        <f t="shared" si="30"/>
        <v>1.5507551641259638</v>
      </c>
      <c r="X319" s="16">
        <f t="shared" si="31"/>
        <v>-7.5060901994691301E-2</v>
      </c>
    </row>
    <row r="320" spans="14:24" x14ac:dyDescent="0.25">
      <c r="N320" s="9"/>
      <c r="O320" s="9"/>
      <c r="P320" s="9"/>
      <c r="Q320" s="10"/>
      <c r="R320" s="14">
        <f t="shared" si="32"/>
        <v>148996</v>
      </c>
      <c r="S320" s="14">
        <f t="shared" si="34"/>
        <v>93923.112274169922</v>
      </c>
      <c r="T320" s="14">
        <f t="shared" si="33"/>
        <v>196150.46563720703</v>
      </c>
      <c r="U320" s="15">
        <f t="shared" si="35"/>
        <v>-2125.7359979688263</v>
      </c>
      <c r="V320" s="15">
        <f t="shared" si="36"/>
        <v>-41363.94428599783</v>
      </c>
      <c r="W320" s="16">
        <f t="shared" si="30"/>
        <v>-3.7811707589984464E-2</v>
      </c>
      <c r="X320" s="16">
        <f t="shared" si="31"/>
        <v>-0.84503707174382081</v>
      </c>
    </row>
    <row r="321" spans="14:24" x14ac:dyDescent="0.25">
      <c r="N321" s="9"/>
      <c r="O321" s="9"/>
      <c r="P321" s="9"/>
      <c r="Q321" s="10"/>
      <c r="R321" s="14">
        <f t="shared" si="32"/>
        <v>149469</v>
      </c>
      <c r="S321" s="14">
        <f t="shared" si="34"/>
        <v>94221.277709960938</v>
      </c>
      <c r="T321" s="14">
        <f t="shared" si="33"/>
        <v>196773.16235351562</v>
      </c>
      <c r="U321" s="15">
        <f t="shared" si="35"/>
        <v>-92874.333911072856</v>
      </c>
      <c r="V321" s="15">
        <f t="shared" si="36"/>
        <v>-57028.948110683603</v>
      </c>
      <c r="W321" s="16">
        <f t="shared" si="30"/>
        <v>-1.6400021500467827</v>
      </c>
      <c r="X321" s="16">
        <f t="shared" si="31"/>
        <v>-1.1630583965968313</v>
      </c>
    </row>
    <row r="322" spans="14:24" x14ac:dyDescent="0.25">
      <c r="N322" s="9"/>
      <c r="O322" s="9"/>
      <c r="P322" s="9"/>
      <c r="Q322" s="10"/>
      <c r="R322" s="14">
        <f t="shared" si="32"/>
        <v>149942</v>
      </c>
      <c r="S322" s="14">
        <f t="shared" si="34"/>
        <v>94519.443145751953</v>
      </c>
      <c r="T322" s="14">
        <f t="shared" si="33"/>
        <v>197395.85906982422</v>
      </c>
      <c r="U322" s="15">
        <f t="shared" si="35"/>
        <v>-142496.24898553209</v>
      </c>
      <c r="V322" s="15">
        <f t="shared" si="36"/>
        <v>-44128.593490258936</v>
      </c>
      <c r="W322" s="16">
        <f t="shared" si="30"/>
        <v>-2.5160901546772236</v>
      </c>
      <c r="X322" s="16">
        <f t="shared" si="31"/>
        <v>-0.90116328866228845</v>
      </c>
    </row>
    <row r="323" spans="14:24" x14ac:dyDescent="0.25">
      <c r="N323" s="9"/>
      <c r="O323" s="9"/>
      <c r="P323" s="9"/>
      <c r="Q323" s="10"/>
      <c r="R323" s="14">
        <f t="shared" si="32"/>
        <v>150415</v>
      </c>
      <c r="S323" s="14">
        <f t="shared" si="34"/>
        <v>94817.608581542969</v>
      </c>
      <c r="T323" s="14">
        <f t="shared" si="33"/>
        <v>198018.55578613281</v>
      </c>
      <c r="U323" s="15">
        <f t="shared" si="35"/>
        <v>-127357.12992910911</v>
      </c>
      <c r="V323" s="15">
        <f t="shared" si="36"/>
        <v>-10576.01218916876</v>
      </c>
      <c r="W323" s="16">
        <f t="shared" si="30"/>
        <v>-2.2488050128985875</v>
      </c>
      <c r="X323" s="16">
        <f t="shared" si="31"/>
        <v>-0.2199993083001526</v>
      </c>
    </row>
    <row r="324" spans="14:24" x14ac:dyDescent="0.25">
      <c r="N324" s="9"/>
      <c r="O324" s="9"/>
      <c r="P324" s="9"/>
      <c r="Q324" s="10"/>
      <c r="R324" s="14">
        <f t="shared" si="32"/>
        <v>150888</v>
      </c>
      <c r="S324" s="14">
        <f t="shared" si="34"/>
        <v>95115.774017333984</v>
      </c>
      <c r="T324" s="14">
        <f t="shared" si="33"/>
        <v>198641.25250244141</v>
      </c>
      <c r="U324" s="15">
        <f t="shared" si="35"/>
        <v>-53346.109036250033</v>
      </c>
      <c r="V324" s="15">
        <f t="shared" si="36"/>
        <v>26002.868320897956</v>
      </c>
      <c r="W324" s="16">
        <f t="shared" si="30"/>
        <v>-0.9421209093650561</v>
      </c>
      <c r="X324" s="16">
        <f t="shared" si="31"/>
        <v>0.5226027473163084</v>
      </c>
    </row>
    <row r="325" spans="14:24" x14ac:dyDescent="0.25">
      <c r="N325" s="9"/>
      <c r="O325" s="9"/>
      <c r="P325" s="9"/>
      <c r="Q325" s="10"/>
      <c r="R325" s="14">
        <f t="shared" si="32"/>
        <v>151361</v>
      </c>
      <c r="S325" s="14">
        <f t="shared" si="34"/>
        <v>95413.939453125</v>
      </c>
      <c r="T325" s="14">
        <f t="shared" si="33"/>
        <v>199263.94921875</v>
      </c>
      <c r="U325" s="15">
        <f t="shared" si="35"/>
        <v>46364.149137517139</v>
      </c>
      <c r="V325" s="15">
        <f t="shared" si="36"/>
        <v>47360.65263330072</v>
      </c>
      <c r="W325" s="16">
        <f t="shared" ref="W325:W381" si="37">(U325-$W$1)/$W$2</f>
        <v>0.81829000975330024</v>
      </c>
      <c r="X325" s="16">
        <f t="shared" ref="X325:X381" si="38">(V325-$X$1)/$X$2</f>
        <v>0.95619541917072559</v>
      </c>
    </row>
    <row r="326" spans="14:24" x14ac:dyDescent="0.25">
      <c r="N326" s="9"/>
      <c r="O326" s="9"/>
      <c r="P326" s="9"/>
      <c r="Q326" s="10"/>
      <c r="R326" s="14">
        <f t="shared" ref="R326:R381" si="39">R325+a_inc</f>
        <v>151834</v>
      </c>
      <c r="S326" s="14">
        <f t="shared" si="34"/>
        <v>95712.104888916016</v>
      </c>
      <c r="T326" s="14">
        <f t="shared" ref="T326:T381" si="40">T325+t_inc</f>
        <v>199886.64593505859</v>
      </c>
      <c r="U326" s="15">
        <f t="shared" si="35"/>
        <v>126232.27999397155</v>
      </c>
      <c r="V326" s="15">
        <f t="shared" si="36"/>
        <v>43682.97794299513</v>
      </c>
      <c r="W326" s="16">
        <f t="shared" si="37"/>
        <v>2.2283829352399458</v>
      </c>
      <c r="X326" s="16">
        <f t="shared" si="38"/>
        <v>0.88153351736216801</v>
      </c>
    </row>
    <row r="327" spans="14:24" x14ac:dyDescent="0.25">
      <c r="N327" s="9"/>
      <c r="O327" s="9"/>
      <c r="P327" s="9"/>
      <c r="Q327" s="10"/>
      <c r="R327" s="14">
        <f t="shared" si="39"/>
        <v>152307</v>
      </c>
      <c r="S327" s="14">
        <f t="shared" ref="S327:S381" si="41">S326+b_inc</f>
        <v>96010.270324707031</v>
      </c>
      <c r="T327" s="14">
        <f t="shared" si="40"/>
        <v>200509.34265136719</v>
      </c>
      <c r="U327" s="15">
        <f t="shared" si="35"/>
        <v>149211.62929010764</v>
      </c>
      <c r="V327" s="15">
        <f t="shared" si="36"/>
        <v>18133.381656090176</v>
      </c>
      <c r="W327" s="16">
        <f t="shared" si="37"/>
        <v>2.6340894107427397</v>
      </c>
      <c r="X327" s="16">
        <f t="shared" si="38"/>
        <v>0.36284124307004501</v>
      </c>
    </row>
    <row r="328" spans="14:24" x14ac:dyDescent="0.25">
      <c r="N328" s="9"/>
      <c r="O328" s="9"/>
      <c r="P328" s="9"/>
      <c r="Q328" s="10"/>
      <c r="R328" s="14">
        <f t="shared" si="39"/>
        <v>152780</v>
      </c>
      <c r="S328" s="14">
        <f t="shared" si="41"/>
        <v>96308.435760498047</v>
      </c>
      <c r="T328" s="14">
        <f t="shared" si="40"/>
        <v>201132.03936767578</v>
      </c>
      <c r="U328" s="15">
        <f t="shared" si="35"/>
        <v>103976.59114015488</v>
      </c>
      <c r="V328" s="15">
        <f t="shared" si="36"/>
        <v>-15231.269144446487</v>
      </c>
      <c r="W328" s="16">
        <f t="shared" si="37"/>
        <v>1.8354528758023181</v>
      </c>
      <c r="X328" s="16">
        <f t="shared" si="38"/>
        <v>-0.31450748723309402</v>
      </c>
    </row>
    <row r="329" spans="14:24" x14ac:dyDescent="0.25">
      <c r="N329" s="9"/>
      <c r="O329" s="9"/>
      <c r="P329" s="9"/>
      <c r="Q329" s="10"/>
      <c r="R329" s="14">
        <f t="shared" si="39"/>
        <v>153253</v>
      </c>
      <c r="S329" s="14">
        <f t="shared" si="41"/>
        <v>96606.601196289063</v>
      </c>
      <c r="T329" s="14">
        <f t="shared" si="40"/>
        <v>201754.73608398437</v>
      </c>
      <c r="U329" s="15">
        <f t="shared" ref="U329:U381" si="42">(R329-S329)*COS(T329)+S329*COS((R329/S329-1)*T329)</f>
        <v>10483.132013460054</v>
      </c>
      <c r="V329" s="15">
        <f t="shared" ref="V329:V381" si="43">(R329-S329)*SIN(T329)-S329*SIN((R329/S329-1)*T329)</f>
        <v>-38946.380922584038</v>
      </c>
      <c r="W329" s="16">
        <f t="shared" si="37"/>
        <v>0.18480118431887757</v>
      </c>
      <c r="X329" s="16">
        <f t="shared" si="38"/>
        <v>-0.7959571792424619</v>
      </c>
    </row>
    <row r="330" spans="14:24" x14ac:dyDescent="0.25">
      <c r="N330" s="9"/>
      <c r="O330" s="9"/>
      <c r="P330" s="9"/>
      <c r="Q330" s="10"/>
      <c r="R330" s="14">
        <f t="shared" si="39"/>
        <v>153726</v>
      </c>
      <c r="S330" s="14">
        <f t="shared" si="41"/>
        <v>96904.766632080078</v>
      </c>
      <c r="T330" s="14">
        <f t="shared" si="40"/>
        <v>202377.43280029297</v>
      </c>
      <c r="U330" s="15">
        <f t="shared" si="42"/>
        <v>-88858.144504063326</v>
      </c>
      <c r="V330" s="15">
        <f t="shared" si="43"/>
        <v>-41130.30425090417</v>
      </c>
      <c r="W330" s="16">
        <f t="shared" si="37"/>
        <v>-1.5690952662934003</v>
      </c>
      <c r="X330" s="16">
        <f t="shared" si="38"/>
        <v>-0.84029385467660889</v>
      </c>
    </row>
    <row r="331" spans="14:24" x14ac:dyDescent="0.25">
      <c r="N331" s="9"/>
      <c r="O331" s="9"/>
      <c r="P331" s="9"/>
      <c r="Q331" s="10"/>
      <c r="R331" s="14">
        <f t="shared" si="39"/>
        <v>154199</v>
      </c>
      <c r="S331" s="14">
        <f t="shared" si="41"/>
        <v>97202.932067871094</v>
      </c>
      <c r="T331" s="14">
        <f t="shared" si="40"/>
        <v>203000.12951660156</v>
      </c>
      <c r="U331" s="15">
        <f t="shared" si="42"/>
        <v>-148482.11410790545</v>
      </c>
      <c r="V331" s="15">
        <f t="shared" si="43"/>
        <v>-21410.309931090254</v>
      </c>
      <c r="W331" s="16">
        <f t="shared" si="37"/>
        <v>-2.6217721829338525</v>
      </c>
      <c r="X331" s="16">
        <f t="shared" si="38"/>
        <v>-0.43995059336196568</v>
      </c>
    </row>
    <row r="332" spans="14:24" x14ac:dyDescent="0.25">
      <c r="N332" s="9"/>
      <c r="O332" s="9"/>
      <c r="P332" s="9"/>
      <c r="Q332" s="10"/>
      <c r="R332" s="14">
        <f t="shared" si="39"/>
        <v>154672</v>
      </c>
      <c r="S332" s="14">
        <f t="shared" si="41"/>
        <v>97501.097503662109</v>
      </c>
      <c r="T332" s="14">
        <f t="shared" si="40"/>
        <v>203622.82623291016</v>
      </c>
      <c r="U332" s="15">
        <f t="shared" si="42"/>
        <v>-140632.24986525369</v>
      </c>
      <c r="V332" s="15">
        <f t="shared" si="43"/>
        <v>9160.0713325176584</v>
      </c>
      <c r="W332" s="16">
        <f t="shared" si="37"/>
        <v>-2.4831807583456391</v>
      </c>
      <c r="X332" s="16">
        <f t="shared" si="38"/>
        <v>0.18067058614861453</v>
      </c>
    </row>
    <row r="333" spans="14:24" x14ac:dyDescent="0.25">
      <c r="N333" s="9"/>
      <c r="O333" s="9"/>
      <c r="P333" s="9"/>
      <c r="Q333" s="10"/>
      <c r="R333" s="14">
        <f t="shared" si="39"/>
        <v>155145</v>
      </c>
      <c r="S333" s="14">
        <f t="shared" si="41"/>
        <v>97799.262939453125</v>
      </c>
      <c r="T333" s="14">
        <f t="shared" si="40"/>
        <v>204245.52294921875</v>
      </c>
      <c r="U333" s="15">
        <f t="shared" si="42"/>
        <v>-68314.235032481098</v>
      </c>
      <c r="V333" s="15">
        <f t="shared" si="43"/>
        <v>34053.001838865581</v>
      </c>
      <c r="W333" s="16">
        <f t="shared" si="37"/>
        <v>-1.2063871235451826</v>
      </c>
      <c r="X333" s="16">
        <f t="shared" si="38"/>
        <v>0.68603163346782792</v>
      </c>
    </row>
    <row r="334" spans="14:24" x14ac:dyDescent="0.25">
      <c r="N334" s="9"/>
      <c r="O334" s="9"/>
      <c r="P334" s="9"/>
      <c r="Q334" s="10"/>
      <c r="R334" s="14">
        <f t="shared" si="39"/>
        <v>155618</v>
      </c>
      <c r="S334" s="14">
        <f t="shared" si="41"/>
        <v>98097.428375244141</v>
      </c>
      <c r="T334" s="14">
        <f t="shared" si="40"/>
        <v>204868.21966552734</v>
      </c>
      <c r="U334" s="15">
        <f t="shared" si="42"/>
        <v>35819.514750503411</v>
      </c>
      <c r="V334" s="15">
        <f t="shared" si="43"/>
        <v>39969.000229614096</v>
      </c>
      <c r="W334" s="16">
        <f t="shared" si="37"/>
        <v>0.63212170718346916</v>
      </c>
      <c r="X334" s="16">
        <f t="shared" si="38"/>
        <v>0.80613461378688067</v>
      </c>
    </row>
    <row r="335" spans="14:24" x14ac:dyDescent="0.25">
      <c r="N335" s="9"/>
      <c r="O335" s="9"/>
      <c r="P335" s="9"/>
      <c r="Q335" s="10"/>
      <c r="R335" s="14">
        <f t="shared" si="39"/>
        <v>156091</v>
      </c>
      <c r="S335" s="14">
        <f t="shared" si="41"/>
        <v>98395.593811035156</v>
      </c>
      <c r="T335" s="14">
        <f t="shared" si="40"/>
        <v>205490.91638183594</v>
      </c>
      <c r="U335" s="15">
        <f t="shared" si="42"/>
        <v>124260.13644430917</v>
      </c>
      <c r="V335" s="15">
        <f t="shared" si="43"/>
        <v>23794.674341152255</v>
      </c>
      <c r="W335" s="16">
        <f t="shared" si="37"/>
        <v>2.1935642204709587</v>
      </c>
      <c r="X335" s="16">
        <f t="shared" si="38"/>
        <v>0.47777334396407167</v>
      </c>
    </row>
    <row r="336" spans="14:24" x14ac:dyDescent="0.25">
      <c r="N336" s="9"/>
      <c r="O336" s="9"/>
      <c r="P336" s="9"/>
      <c r="Q336" s="10"/>
      <c r="R336" s="14">
        <f t="shared" si="39"/>
        <v>156564</v>
      </c>
      <c r="S336" s="14">
        <f t="shared" si="41"/>
        <v>98693.759246826172</v>
      </c>
      <c r="T336" s="14">
        <f t="shared" si="40"/>
        <v>206113.61309814453</v>
      </c>
      <c r="U336" s="15">
        <f t="shared" si="42"/>
        <v>156387.34067732442</v>
      </c>
      <c r="V336" s="15">
        <f t="shared" si="43"/>
        <v>-5767.9279333557643</v>
      </c>
      <c r="W336" s="16">
        <f t="shared" si="37"/>
        <v>2.7607784887760545</v>
      </c>
      <c r="X336" s="16">
        <f t="shared" si="38"/>
        <v>-0.12238852300120798</v>
      </c>
    </row>
    <row r="337" spans="14:24" x14ac:dyDescent="0.25">
      <c r="N337" s="9"/>
      <c r="O337" s="9"/>
      <c r="P337" s="9"/>
      <c r="Q337" s="10"/>
      <c r="R337" s="14">
        <f t="shared" si="39"/>
        <v>157037</v>
      </c>
      <c r="S337" s="14">
        <f t="shared" si="41"/>
        <v>98991.924682617188</v>
      </c>
      <c r="T337" s="14">
        <f t="shared" si="40"/>
        <v>206736.30981445313</v>
      </c>
      <c r="U337" s="15">
        <f t="shared" si="42"/>
        <v>117185.58945530441</v>
      </c>
      <c r="V337" s="15">
        <f t="shared" si="43"/>
        <v>-32748.120404918649</v>
      </c>
      <c r="W337" s="16">
        <f t="shared" si="37"/>
        <v>2.068661226582849</v>
      </c>
      <c r="X337" s="16">
        <f t="shared" si="38"/>
        <v>-0.670123885891728</v>
      </c>
    </row>
    <row r="338" spans="14:24" x14ac:dyDescent="0.25">
      <c r="N338" s="9"/>
      <c r="O338" s="9"/>
      <c r="P338" s="9"/>
      <c r="Q338" s="10"/>
      <c r="R338" s="14">
        <f t="shared" si="39"/>
        <v>157510</v>
      </c>
      <c r="S338" s="14">
        <f t="shared" si="41"/>
        <v>99290.090118408203</v>
      </c>
      <c r="T338" s="14">
        <f t="shared" si="40"/>
        <v>207359.00653076172</v>
      </c>
      <c r="U338" s="15">
        <f t="shared" si="42"/>
        <v>24281.484690641169</v>
      </c>
      <c r="V338" s="15">
        <f t="shared" si="43"/>
        <v>-42303.024877694261</v>
      </c>
      <c r="W338" s="16">
        <f t="shared" si="37"/>
        <v>0.42841474187705375</v>
      </c>
      <c r="X338" s="16">
        <f t="shared" si="38"/>
        <v>-0.8641017114500954</v>
      </c>
    </row>
    <row r="339" spans="14:24" x14ac:dyDescent="0.25">
      <c r="N339" s="9"/>
      <c r="O339" s="9"/>
      <c r="P339" s="9"/>
      <c r="Q339" s="10"/>
      <c r="R339" s="14">
        <f t="shared" si="39"/>
        <v>157983</v>
      </c>
      <c r="S339" s="14">
        <f t="shared" si="41"/>
        <v>99588.255554199219</v>
      </c>
      <c r="T339" s="14">
        <f t="shared" si="40"/>
        <v>207981.70324707031</v>
      </c>
      <c r="U339" s="15">
        <f t="shared" si="42"/>
        <v>-80004.671218760457</v>
      </c>
      <c r="V339" s="15">
        <f t="shared" si="43"/>
        <v>-28634.850825539899</v>
      </c>
      <c r="W339" s="16">
        <f t="shared" si="37"/>
        <v>-1.4127848592296837</v>
      </c>
      <c r="X339" s="16">
        <f t="shared" si="38"/>
        <v>-0.58661880311286352</v>
      </c>
    </row>
    <row r="340" spans="14:24" x14ac:dyDescent="0.25">
      <c r="N340" s="9"/>
      <c r="O340" s="9"/>
      <c r="P340" s="9"/>
      <c r="Q340" s="10"/>
      <c r="R340" s="14">
        <f t="shared" si="39"/>
        <v>158456</v>
      </c>
      <c r="S340" s="14">
        <f t="shared" si="41"/>
        <v>99886.420989990234</v>
      </c>
      <c r="T340" s="14">
        <f t="shared" si="40"/>
        <v>208604.39996337891</v>
      </c>
      <c r="U340" s="15">
        <f t="shared" si="42"/>
        <v>-147999.26101124621</v>
      </c>
      <c r="V340" s="15">
        <f t="shared" si="43"/>
        <v>1702.8662891052336</v>
      </c>
      <c r="W340" s="16">
        <f t="shared" si="37"/>
        <v>-2.6132472840993946</v>
      </c>
      <c r="X340" s="16">
        <f t="shared" si="38"/>
        <v>2.9278971173752465E-2</v>
      </c>
    </row>
    <row r="341" spans="14:24" x14ac:dyDescent="0.25">
      <c r="N341" s="9"/>
      <c r="O341" s="9"/>
      <c r="P341" s="9"/>
      <c r="Q341" s="10"/>
      <c r="R341" s="14">
        <f t="shared" si="39"/>
        <v>158929</v>
      </c>
      <c r="S341" s="14">
        <f t="shared" si="41"/>
        <v>100184.58642578125</v>
      </c>
      <c r="T341" s="14">
        <f t="shared" si="40"/>
        <v>209227.0966796875</v>
      </c>
      <c r="U341" s="15">
        <f t="shared" si="42"/>
        <v>-148541.90996099572</v>
      </c>
      <c r="V341" s="15">
        <f t="shared" si="43"/>
        <v>32923.23645631929</v>
      </c>
      <c r="W341" s="16">
        <f t="shared" si="37"/>
        <v>-2.6228278944988013</v>
      </c>
      <c r="X341" s="16">
        <f t="shared" si="38"/>
        <v>0.66309582778584963</v>
      </c>
    </row>
    <row r="342" spans="14:24" x14ac:dyDescent="0.25">
      <c r="N342" s="9"/>
      <c r="O342" s="9"/>
      <c r="P342" s="9"/>
      <c r="Q342" s="10"/>
      <c r="R342" s="14">
        <f t="shared" si="39"/>
        <v>159402</v>
      </c>
      <c r="S342" s="14">
        <f t="shared" si="41"/>
        <v>100482.75186157227</v>
      </c>
      <c r="T342" s="14">
        <f t="shared" si="40"/>
        <v>209849.79339599609</v>
      </c>
      <c r="U342" s="15">
        <f t="shared" si="42"/>
        <v>-81316.521859357206</v>
      </c>
      <c r="V342" s="15">
        <f t="shared" si="43"/>
        <v>48074.522609439628</v>
      </c>
      <c r="W342" s="16">
        <f t="shared" si="37"/>
        <v>-1.4359459284542191</v>
      </c>
      <c r="X342" s="16">
        <f t="shared" si="38"/>
        <v>0.97068797072865898</v>
      </c>
    </row>
    <row r="343" spans="14:24" x14ac:dyDescent="0.25">
      <c r="N343" s="9"/>
      <c r="O343" s="9"/>
      <c r="P343" s="9"/>
      <c r="Q343" s="10"/>
      <c r="R343" s="14">
        <f t="shared" si="39"/>
        <v>159875</v>
      </c>
      <c r="S343" s="14">
        <f t="shared" si="41"/>
        <v>100780.91729736328</v>
      </c>
      <c r="T343" s="14">
        <f t="shared" si="40"/>
        <v>210472.49011230469</v>
      </c>
      <c r="U343" s="15">
        <f t="shared" si="42"/>
        <v>22966.929983531249</v>
      </c>
      <c r="V343" s="15">
        <f t="shared" si="43"/>
        <v>37991.203663469743</v>
      </c>
      <c r="W343" s="16">
        <f t="shared" si="37"/>
        <v>0.40520593164469221</v>
      </c>
      <c r="X343" s="16">
        <f t="shared" si="38"/>
        <v>0.76598259778393663</v>
      </c>
    </row>
    <row r="344" spans="14:24" x14ac:dyDescent="0.25">
      <c r="N344" s="9"/>
      <c r="O344" s="9"/>
      <c r="P344" s="9"/>
      <c r="Q344" s="10"/>
      <c r="R344" s="14">
        <f t="shared" si="39"/>
        <v>160348</v>
      </c>
      <c r="S344" s="14">
        <f t="shared" si="41"/>
        <v>101079.0827331543</v>
      </c>
      <c r="T344" s="14">
        <f t="shared" si="40"/>
        <v>211095.18682861328</v>
      </c>
      <c r="U344" s="15">
        <f t="shared" si="42"/>
        <v>116643.32024285299</v>
      </c>
      <c r="V344" s="15">
        <f t="shared" si="43"/>
        <v>6494.7088284557831</v>
      </c>
      <c r="W344" s="16">
        <f t="shared" si="37"/>
        <v>2.0590873205456433</v>
      </c>
      <c r="X344" s="16">
        <f t="shared" si="38"/>
        <v>0.12656002708066627</v>
      </c>
    </row>
    <row r="345" spans="14:24" x14ac:dyDescent="0.25">
      <c r="N345" s="9"/>
      <c r="O345" s="9"/>
      <c r="P345" s="9"/>
      <c r="Q345" s="10"/>
      <c r="R345" s="14">
        <f t="shared" si="39"/>
        <v>160821</v>
      </c>
      <c r="S345" s="14">
        <f t="shared" si="41"/>
        <v>101377.24816894531</v>
      </c>
      <c r="T345" s="14">
        <f t="shared" si="40"/>
        <v>211717.88354492188</v>
      </c>
      <c r="U345" s="15">
        <f t="shared" si="42"/>
        <v>156950.86989733545</v>
      </c>
      <c r="V345" s="15">
        <f t="shared" si="43"/>
        <v>-30991.629701201651</v>
      </c>
      <c r="W345" s="16">
        <f t="shared" si="37"/>
        <v>2.7707277458567132</v>
      </c>
      <c r="X345" s="16">
        <f t="shared" si="38"/>
        <v>-0.63446468612774187</v>
      </c>
    </row>
    <row r="346" spans="14:24" x14ac:dyDescent="0.25">
      <c r="N346" s="9"/>
      <c r="O346" s="9"/>
      <c r="P346" s="9"/>
      <c r="Q346" s="10"/>
      <c r="R346" s="14">
        <f t="shared" si="39"/>
        <v>161294</v>
      </c>
      <c r="S346" s="14">
        <f t="shared" si="41"/>
        <v>101675.41360473633</v>
      </c>
      <c r="T346" s="14">
        <f t="shared" si="40"/>
        <v>212340.58026123047</v>
      </c>
      <c r="U346" s="15">
        <f t="shared" si="42"/>
        <v>125621.72808767558</v>
      </c>
      <c r="V346" s="15">
        <f t="shared" si="43"/>
        <v>-54946.948603977529</v>
      </c>
      <c r="W346" s="16">
        <f t="shared" si="37"/>
        <v>2.2176034802248079</v>
      </c>
      <c r="X346" s="16">
        <f t="shared" si="38"/>
        <v>-1.1207909162389538</v>
      </c>
    </row>
    <row r="347" spans="14:24" x14ac:dyDescent="0.25">
      <c r="N347" s="9"/>
      <c r="O347" s="9"/>
      <c r="P347" s="9"/>
      <c r="Q347" s="10"/>
      <c r="R347" s="14">
        <f t="shared" si="39"/>
        <v>161767</v>
      </c>
      <c r="S347" s="14">
        <f t="shared" si="41"/>
        <v>101973.57904052734</v>
      </c>
      <c r="T347" s="14">
        <f t="shared" si="40"/>
        <v>212963.27697753906</v>
      </c>
      <c r="U347" s="15">
        <f t="shared" si="42"/>
        <v>37198.313116508405</v>
      </c>
      <c r="V347" s="15">
        <f t="shared" si="43"/>
        <v>-51744.381892011574</v>
      </c>
      <c r="W347" s="16">
        <f t="shared" si="37"/>
        <v>0.65646475616592914</v>
      </c>
      <c r="X347" s="16">
        <f t="shared" si="38"/>
        <v>-1.0557743659675407</v>
      </c>
    </row>
    <row r="348" spans="14:24" x14ac:dyDescent="0.25">
      <c r="N348" s="9"/>
      <c r="O348" s="9"/>
      <c r="P348" s="9"/>
      <c r="Q348" s="10"/>
      <c r="R348" s="14">
        <f t="shared" si="39"/>
        <v>162240</v>
      </c>
      <c r="S348" s="14">
        <f t="shared" si="41"/>
        <v>102271.74447631836</v>
      </c>
      <c r="T348" s="14">
        <f t="shared" si="40"/>
        <v>213585.97369384766</v>
      </c>
      <c r="U348" s="15">
        <f t="shared" si="42"/>
        <v>-67727.502802055635</v>
      </c>
      <c r="V348" s="15">
        <f t="shared" si="43"/>
        <v>-21082.194557003233</v>
      </c>
      <c r="W348" s="16">
        <f t="shared" si="37"/>
        <v>-1.196028211192959</v>
      </c>
      <c r="X348" s="16">
        <f t="shared" si="38"/>
        <v>-0.43328939575616882</v>
      </c>
    </row>
    <row r="349" spans="14:24" x14ac:dyDescent="0.25">
      <c r="N349" s="9"/>
      <c r="O349" s="9"/>
      <c r="P349" s="9"/>
      <c r="Q349" s="10"/>
      <c r="R349" s="14">
        <f t="shared" si="39"/>
        <v>162713</v>
      </c>
      <c r="S349" s="14">
        <f t="shared" si="41"/>
        <v>102569.90991210937</v>
      </c>
      <c r="T349" s="14">
        <f t="shared" si="40"/>
        <v>214208.67041015625</v>
      </c>
      <c r="U349" s="15">
        <f t="shared" si="42"/>
        <v>-141205.17669518688</v>
      </c>
      <c r="V349" s="15">
        <f t="shared" si="43"/>
        <v>23084.347927767707</v>
      </c>
      <c r="W349" s="16">
        <f t="shared" si="37"/>
        <v>-2.4932959327092696</v>
      </c>
      <c r="X349" s="16">
        <f t="shared" si="38"/>
        <v>0.46335273164946389</v>
      </c>
    </row>
    <row r="350" spans="14:24" x14ac:dyDescent="0.25">
      <c r="N350" s="9"/>
      <c r="O350" s="9"/>
      <c r="P350" s="9"/>
      <c r="Q350" s="10"/>
      <c r="R350" s="14">
        <f t="shared" si="39"/>
        <v>163186</v>
      </c>
      <c r="S350" s="14">
        <f t="shared" si="41"/>
        <v>102868.07534790039</v>
      </c>
      <c r="T350" s="14">
        <f t="shared" si="40"/>
        <v>214831.36712646484</v>
      </c>
      <c r="U350" s="15">
        <f t="shared" si="42"/>
        <v>-149915.53335590308</v>
      </c>
      <c r="V350" s="15">
        <f t="shared" si="43"/>
        <v>58894.736330617234</v>
      </c>
      <c r="W350" s="16">
        <f t="shared" si="37"/>
        <v>-2.6470795780009864</v>
      </c>
      <c r="X350" s="16">
        <f t="shared" si="38"/>
        <v>1.1903533306169862</v>
      </c>
    </row>
    <row r="351" spans="14:24" x14ac:dyDescent="0.25">
      <c r="N351" s="9"/>
      <c r="O351" s="9"/>
      <c r="P351" s="9"/>
      <c r="Q351" s="10"/>
      <c r="R351" s="14">
        <f t="shared" si="39"/>
        <v>163659</v>
      </c>
      <c r="S351" s="14">
        <f t="shared" si="41"/>
        <v>103166.24078369141</v>
      </c>
      <c r="T351" s="14">
        <f t="shared" si="40"/>
        <v>215454.06384277344</v>
      </c>
      <c r="U351" s="15">
        <f t="shared" si="42"/>
        <v>-90341.676139884934</v>
      </c>
      <c r="V351" s="15">
        <f t="shared" si="43"/>
        <v>67327.499423397952</v>
      </c>
      <c r="W351" s="16">
        <f t="shared" si="37"/>
        <v>-1.5952874087909812</v>
      </c>
      <c r="X351" s="16">
        <f t="shared" si="38"/>
        <v>1.3615501283293219</v>
      </c>
    </row>
    <row r="352" spans="14:24" x14ac:dyDescent="0.25">
      <c r="N352" s="9"/>
      <c r="O352" s="9"/>
      <c r="P352" s="9"/>
      <c r="Q352" s="10"/>
      <c r="R352" s="14">
        <f t="shared" si="39"/>
        <v>164132</v>
      </c>
      <c r="S352" s="14">
        <f t="shared" si="41"/>
        <v>103464.40621948242</v>
      </c>
      <c r="T352" s="14">
        <f t="shared" si="40"/>
        <v>216076.76055908203</v>
      </c>
      <c r="U352" s="15">
        <f t="shared" si="42"/>
        <v>9814.6681918900431</v>
      </c>
      <c r="V352" s="15">
        <f t="shared" si="43"/>
        <v>42086.382414648513</v>
      </c>
      <c r="W352" s="16">
        <f t="shared" si="37"/>
        <v>0.17299927915806004</v>
      </c>
      <c r="X352" s="16">
        <f t="shared" si="38"/>
        <v>0.84912041163543717</v>
      </c>
    </row>
    <row r="353" spans="14:24" x14ac:dyDescent="0.25">
      <c r="N353" s="9"/>
      <c r="O353" s="9"/>
      <c r="P353" s="9"/>
      <c r="Q353" s="10"/>
      <c r="R353" s="14">
        <f t="shared" si="39"/>
        <v>164605</v>
      </c>
      <c r="S353" s="14">
        <f t="shared" si="41"/>
        <v>103762.57165527344</v>
      </c>
      <c r="T353" s="14">
        <f t="shared" si="40"/>
        <v>216699.45727539062</v>
      </c>
      <c r="U353" s="15">
        <f t="shared" si="42"/>
        <v>104540.8848830948</v>
      </c>
      <c r="V353" s="15">
        <f t="shared" si="43"/>
        <v>-6427.85719988653</v>
      </c>
      <c r="W353" s="16">
        <f t="shared" si="37"/>
        <v>1.8454156307370249</v>
      </c>
      <c r="X353" s="16">
        <f t="shared" si="38"/>
        <v>-0.13578600326997511</v>
      </c>
    </row>
    <row r="354" spans="14:24" x14ac:dyDescent="0.25">
      <c r="N354" s="9"/>
      <c r="O354" s="9"/>
      <c r="P354" s="9"/>
      <c r="Q354" s="10"/>
      <c r="R354" s="14">
        <f t="shared" si="39"/>
        <v>165078</v>
      </c>
      <c r="S354" s="14">
        <f t="shared" si="41"/>
        <v>104060.73709106445</v>
      </c>
      <c r="T354" s="14">
        <f t="shared" si="40"/>
        <v>217322.15399169922</v>
      </c>
      <c r="U354" s="15">
        <f t="shared" si="42"/>
        <v>150719.86582257884</v>
      </c>
      <c r="V354" s="15">
        <f t="shared" si="43"/>
        <v>-55367.487199526353</v>
      </c>
      <c r="W354" s="16">
        <f t="shared" si="37"/>
        <v>2.6607177247096776</v>
      </c>
      <c r="X354" s="16">
        <f t="shared" si="38"/>
        <v>-1.1293284335485574</v>
      </c>
    </row>
    <row r="355" spans="14:24" x14ac:dyDescent="0.25">
      <c r="N355" s="9"/>
      <c r="O355" s="9"/>
      <c r="P355" s="9"/>
      <c r="Q355" s="10"/>
      <c r="R355" s="14">
        <f t="shared" si="39"/>
        <v>165551</v>
      </c>
      <c r="S355" s="14">
        <f t="shared" si="41"/>
        <v>104358.90252685547</v>
      </c>
      <c r="T355" s="14">
        <f t="shared" si="40"/>
        <v>217944.85070800781</v>
      </c>
      <c r="U355" s="15">
        <f t="shared" si="42"/>
        <v>127831.97392508725</v>
      </c>
      <c r="V355" s="15">
        <f t="shared" si="43"/>
        <v>-80191.41215374718</v>
      </c>
      <c r="W355" s="16">
        <f t="shared" si="37"/>
        <v>2.2566259537132884</v>
      </c>
      <c r="X355" s="16">
        <f t="shared" si="38"/>
        <v>-1.6332885723614423</v>
      </c>
    </row>
    <row r="356" spans="14:24" x14ac:dyDescent="0.25">
      <c r="N356" s="9"/>
      <c r="O356" s="9"/>
      <c r="P356" s="9"/>
      <c r="Q356" s="10"/>
      <c r="R356" s="14">
        <f t="shared" si="39"/>
        <v>166024</v>
      </c>
      <c r="S356" s="14">
        <f t="shared" si="41"/>
        <v>104657.06796264648</v>
      </c>
      <c r="T356" s="14">
        <f t="shared" si="40"/>
        <v>218567.54742431641</v>
      </c>
      <c r="U356" s="15">
        <f t="shared" si="42"/>
        <v>47116.232654709609</v>
      </c>
      <c r="V356" s="15">
        <f t="shared" si="43"/>
        <v>-66863.481514666928</v>
      </c>
      <c r="W356" s="16">
        <f t="shared" si="37"/>
        <v>0.83156824270549301</v>
      </c>
      <c r="X356" s="16">
        <f t="shared" si="38"/>
        <v>-1.3627130776584044</v>
      </c>
    </row>
    <row r="357" spans="14:24" x14ac:dyDescent="0.25">
      <c r="N357" s="9"/>
      <c r="O357" s="9"/>
      <c r="P357" s="9"/>
      <c r="Q357" s="10"/>
      <c r="R357" s="14">
        <f t="shared" si="39"/>
        <v>166497</v>
      </c>
      <c r="S357" s="14">
        <f t="shared" si="41"/>
        <v>104955.2333984375</v>
      </c>
      <c r="T357" s="14">
        <f t="shared" si="40"/>
        <v>219190.244140625</v>
      </c>
      <c r="U357" s="15">
        <f t="shared" si="42"/>
        <v>-53919.442659849388</v>
      </c>
      <c r="V357" s="15">
        <f t="shared" si="43"/>
        <v>-19474.947233638035</v>
      </c>
      <c r="W357" s="16">
        <f t="shared" si="37"/>
        <v>-0.95224326577820528</v>
      </c>
      <c r="X357" s="16">
        <f t="shared" si="38"/>
        <v>-0.4006600438030225</v>
      </c>
    </row>
    <row r="358" spans="14:24" x14ac:dyDescent="0.25">
      <c r="N358" s="9"/>
      <c r="O358" s="9"/>
      <c r="P358" s="9"/>
      <c r="Q358" s="10"/>
      <c r="R358" s="14">
        <f t="shared" si="39"/>
        <v>166970</v>
      </c>
      <c r="S358" s="14">
        <f t="shared" si="41"/>
        <v>105253.39883422852</v>
      </c>
      <c r="T358" s="14">
        <f t="shared" si="40"/>
        <v>219812.94085693359</v>
      </c>
      <c r="U358" s="15">
        <f t="shared" si="42"/>
        <v>-128969.6892709847</v>
      </c>
      <c r="V358" s="15">
        <f t="shared" si="43"/>
        <v>40736.701803284675</v>
      </c>
      <c r="W358" s="16">
        <f t="shared" si="37"/>
        <v>-2.277275173593758</v>
      </c>
      <c r="X358" s="16">
        <f t="shared" si="38"/>
        <v>0.82172002150735124</v>
      </c>
    </row>
    <row r="359" spans="14:24" x14ac:dyDescent="0.25">
      <c r="N359" s="9"/>
      <c r="O359" s="9"/>
      <c r="P359" s="9"/>
      <c r="Q359" s="10"/>
      <c r="R359" s="14">
        <f t="shared" si="39"/>
        <v>167443</v>
      </c>
      <c r="S359" s="14">
        <f t="shared" si="41"/>
        <v>105551.56427001953</v>
      </c>
      <c r="T359" s="14">
        <f t="shared" si="40"/>
        <v>220435.63757324219</v>
      </c>
      <c r="U359" s="15">
        <f t="shared" si="42"/>
        <v>-144228.78957611741</v>
      </c>
      <c r="V359" s="15">
        <f t="shared" si="43"/>
        <v>84920.571254276118</v>
      </c>
      <c r="W359" s="16">
        <f t="shared" si="37"/>
        <v>-2.5466786159784363</v>
      </c>
      <c r="X359" s="16">
        <f t="shared" si="38"/>
        <v>1.7187139103817199</v>
      </c>
    </row>
    <row r="360" spans="14:24" x14ac:dyDescent="0.25">
      <c r="N360" s="9"/>
      <c r="O360" s="9"/>
      <c r="P360" s="9"/>
      <c r="Q360" s="10"/>
      <c r="R360" s="14">
        <f t="shared" si="39"/>
        <v>167916</v>
      </c>
      <c r="S360" s="14">
        <f t="shared" si="41"/>
        <v>105849.72970581055</v>
      </c>
      <c r="T360" s="14">
        <f t="shared" si="40"/>
        <v>221058.33428955078</v>
      </c>
      <c r="U360" s="15">
        <f t="shared" si="42"/>
        <v>-93685.514515027695</v>
      </c>
      <c r="V360" s="15">
        <f t="shared" si="43"/>
        <v>90411.302194354779</v>
      </c>
      <c r="W360" s="16">
        <f t="shared" si="37"/>
        <v>-1.6543237576600185</v>
      </c>
      <c r="X360" s="16">
        <f t="shared" si="38"/>
        <v>1.8301833710672974</v>
      </c>
    </row>
    <row r="361" spans="14:24" x14ac:dyDescent="0.25">
      <c r="N361" s="9"/>
      <c r="O361" s="9"/>
      <c r="P361" s="9"/>
      <c r="Q361" s="10"/>
      <c r="R361" s="14">
        <f t="shared" si="39"/>
        <v>168389</v>
      </c>
      <c r="S361" s="14">
        <f t="shared" si="41"/>
        <v>106147.89514160156</v>
      </c>
      <c r="T361" s="14">
        <f t="shared" si="40"/>
        <v>221681.03100585938</v>
      </c>
      <c r="U361" s="15">
        <f t="shared" si="42"/>
        <v>-1465.4751217047742</v>
      </c>
      <c r="V361" s="15">
        <f t="shared" si="43"/>
        <v>52204.413153406087</v>
      </c>
      <c r="W361" s="16">
        <f t="shared" si="37"/>
        <v>-2.6154627593097148E-2</v>
      </c>
      <c r="X361" s="16">
        <f t="shared" si="38"/>
        <v>1.0545304821629951</v>
      </c>
    </row>
    <row r="362" spans="14:24" x14ac:dyDescent="0.25">
      <c r="N362" s="9"/>
      <c r="O362" s="9"/>
      <c r="P362" s="9"/>
      <c r="Q362" s="10"/>
      <c r="R362" s="14">
        <f t="shared" si="39"/>
        <v>168862</v>
      </c>
      <c r="S362" s="14">
        <f t="shared" si="41"/>
        <v>106446.06057739258</v>
      </c>
      <c r="T362" s="14">
        <f t="shared" si="40"/>
        <v>222303.72772216797</v>
      </c>
      <c r="U362" s="15">
        <f t="shared" si="42"/>
        <v>89679.691321664912</v>
      </c>
      <c r="V362" s="15">
        <f t="shared" si="43"/>
        <v>-13642.952096453511</v>
      </c>
      <c r="W362" s="16">
        <f t="shared" si="37"/>
        <v>1.5830373369101265</v>
      </c>
      <c r="X362" s="16">
        <f t="shared" si="38"/>
        <v>-0.28226244615028528</v>
      </c>
    </row>
    <row r="363" spans="14:24" x14ac:dyDescent="0.25">
      <c r="N363" s="9"/>
      <c r="O363" s="9"/>
      <c r="P363" s="9"/>
      <c r="Q363" s="10"/>
      <c r="R363" s="14">
        <f t="shared" si="39"/>
        <v>169335</v>
      </c>
      <c r="S363" s="14">
        <f t="shared" si="41"/>
        <v>106744.22601318359</v>
      </c>
      <c r="T363" s="14">
        <f t="shared" si="40"/>
        <v>222926.42443847656</v>
      </c>
      <c r="U363" s="15">
        <f t="shared" si="42"/>
        <v>138246.75292269711</v>
      </c>
      <c r="V363" s="15">
        <f t="shared" si="43"/>
        <v>-76739.18408216277</v>
      </c>
      <c r="W363" s="16">
        <f t="shared" si="37"/>
        <v>2.4405016251175824</v>
      </c>
      <c r="X363" s="16">
        <f t="shared" si="38"/>
        <v>-1.5632035498930836</v>
      </c>
    </row>
    <row r="364" spans="14:24" x14ac:dyDescent="0.25">
      <c r="N364" s="9"/>
      <c r="O364" s="9"/>
      <c r="P364" s="9"/>
      <c r="Q364" s="10"/>
      <c r="R364" s="14">
        <f t="shared" si="39"/>
        <v>169808</v>
      </c>
      <c r="S364" s="14">
        <f t="shared" si="41"/>
        <v>107042.39144897461</v>
      </c>
      <c r="T364" s="14">
        <f t="shared" si="40"/>
        <v>223549.12115478516</v>
      </c>
      <c r="U364" s="15">
        <f t="shared" si="42"/>
        <v>122955.92889551073</v>
      </c>
      <c r="V364" s="15">
        <f t="shared" si="43"/>
        <v>-106405.8626326282</v>
      </c>
      <c r="W364" s="16">
        <f t="shared" si="37"/>
        <v>2.1705380920489445</v>
      </c>
      <c r="X364" s="16">
        <f t="shared" si="38"/>
        <v>-2.1654783097459847</v>
      </c>
    </row>
    <row r="365" spans="14:24" x14ac:dyDescent="0.25">
      <c r="N365" s="9"/>
      <c r="O365" s="9"/>
      <c r="P365" s="9"/>
      <c r="Q365" s="10"/>
      <c r="R365" s="14">
        <f t="shared" si="39"/>
        <v>170281</v>
      </c>
      <c r="S365" s="14">
        <f t="shared" si="41"/>
        <v>107340.55688476563</v>
      </c>
      <c r="T365" s="14">
        <f t="shared" si="40"/>
        <v>224171.81787109375</v>
      </c>
      <c r="U365" s="15">
        <f t="shared" si="42"/>
        <v>52117.493292106468</v>
      </c>
      <c r="V365" s="15">
        <f t="shared" si="43"/>
        <v>-86543.71992584868</v>
      </c>
      <c r="W365" s="16">
        <f t="shared" si="37"/>
        <v>0.91986681896719391</v>
      </c>
      <c r="X365" s="16">
        <f t="shared" si="38"/>
        <v>-1.7622492388359885</v>
      </c>
    </row>
    <row r="366" spans="14:24" x14ac:dyDescent="0.25">
      <c r="N366" s="9"/>
      <c r="O366" s="9"/>
      <c r="P366" s="9"/>
      <c r="Q366" s="10"/>
      <c r="R366" s="14">
        <f t="shared" si="39"/>
        <v>170754</v>
      </c>
      <c r="S366" s="14">
        <f t="shared" si="41"/>
        <v>107638.72232055664</v>
      </c>
      <c r="T366" s="14">
        <f t="shared" si="40"/>
        <v>224794.51458740234</v>
      </c>
      <c r="U366" s="15">
        <f t="shared" si="42"/>
        <v>-40753.07793301106</v>
      </c>
      <c r="V366" s="15">
        <f t="shared" si="43"/>
        <v>-24133.58106958698</v>
      </c>
      <c r="W366" s="16">
        <f t="shared" si="37"/>
        <v>-0.71978762224925352</v>
      </c>
      <c r="X366" s="16">
        <f t="shared" si="38"/>
        <v>-0.49523677810160249</v>
      </c>
    </row>
    <row r="367" spans="14:24" x14ac:dyDescent="0.25">
      <c r="N367" s="9"/>
      <c r="O367" s="9"/>
      <c r="P367" s="9"/>
      <c r="Q367" s="10"/>
      <c r="R367" s="14">
        <f t="shared" si="39"/>
        <v>171227</v>
      </c>
      <c r="S367" s="14">
        <f t="shared" si="41"/>
        <v>107936.88775634766</v>
      </c>
      <c r="T367" s="14">
        <f t="shared" si="40"/>
        <v>225417.21130371094</v>
      </c>
      <c r="U367" s="15">
        <f t="shared" si="42"/>
        <v>-112806.41478902735</v>
      </c>
      <c r="V367" s="15">
        <f t="shared" si="43"/>
        <v>53029.384341211233</v>
      </c>
      <c r="W367" s="16">
        <f t="shared" si="37"/>
        <v>-1.9919082975281335</v>
      </c>
      <c r="X367" s="16">
        <f t="shared" si="38"/>
        <v>1.0712785425559272</v>
      </c>
    </row>
    <row r="368" spans="14:24" x14ac:dyDescent="0.25">
      <c r="N368" s="9"/>
      <c r="O368" s="9"/>
      <c r="P368" s="9"/>
      <c r="Q368" s="10"/>
      <c r="R368" s="14">
        <f t="shared" si="39"/>
        <v>171700</v>
      </c>
      <c r="S368" s="14">
        <f t="shared" si="41"/>
        <v>108235.05319213867</v>
      </c>
      <c r="T368" s="14">
        <f t="shared" si="40"/>
        <v>226039.90802001953</v>
      </c>
      <c r="U368" s="15">
        <f t="shared" si="42"/>
        <v>-131695.47716389285</v>
      </c>
      <c r="V368" s="15">
        <f t="shared" si="43"/>
        <v>108742.07086853209</v>
      </c>
      <c r="W368" s="16">
        <f t="shared" si="37"/>
        <v>-2.3253996781107724</v>
      </c>
      <c r="X368" s="16">
        <f t="shared" si="38"/>
        <v>2.2023234231590414</v>
      </c>
    </row>
    <row r="369" spans="14:24" x14ac:dyDescent="0.25">
      <c r="N369" s="9"/>
      <c r="O369" s="9"/>
      <c r="P369" s="9"/>
      <c r="Q369" s="10"/>
      <c r="R369" s="14">
        <f t="shared" si="39"/>
        <v>172173</v>
      </c>
      <c r="S369" s="14">
        <f t="shared" si="41"/>
        <v>108533.21862792969</v>
      </c>
      <c r="T369" s="14">
        <f t="shared" si="40"/>
        <v>226662.60473632812</v>
      </c>
      <c r="U369" s="15">
        <f t="shared" si="42"/>
        <v>-90165.361941158742</v>
      </c>
      <c r="V369" s="15">
        <f t="shared" si="43"/>
        <v>115390.78643069297</v>
      </c>
      <c r="W369" s="16">
        <f t="shared" si="37"/>
        <v>-1.5921745350875325</v>
      </c>
      <c r="X369" s="16">
        <f t="shared" si="38"/>
        <v>2.3373015792650227</v>
      </c>
    </row>
    <row r="370" spans="14:24" x14ac:dyDescent="0.25">
      <c r="N370" s="9"/>
      <c r="O370" s="9"/>
      <c r="P370" s="9"/>
      <c r="Q370" s="10"/>
      <c r="R370" s="14">
        <f t="shared" si="39"/>
        <v>172646</v>
      </c>
      <c r="S370" s="14">
        <f t="shared" si="41"/>
        <v>108831.3840637207</v>
      </c>
      <c r="T370" s="14">
        <f t="shared" si="40"/>
        <v>227285.30145263672</v>
      </c>
      <c r="U370" s="15">
        <f t="shared" si="42"/>
        <v>-8785.3404416298654</v>
      </c>
      <c r="V370" s="15">
        <f t="shared" si="43"/>
        <v>67553.983696142153</v>
      </c>
      <c r="W370" s="16">
        <f t="shared" si="37"/>
        <v>-0.15538878134701942</v>
      </c>
      <c r="X370" s="16">
        <f t="shared" si="38"/>
        <v>1.3661480734867293</v>
      </c>
    </row>
    <row r="371" spans="14:24" x14ac:dyDescent="0.25">
      <c r="N371" s="9"/>
      <c r="O371" s="9"/>
      <c r="P371" s="9"/>
      <c r="Q371" s="10"/>
      <c r="R371" s="14">
        <f t="shared" si="39"/>
        <v>173119</v>
      </c>
      <c r="S371" s="14">
        <f t="shared" si="41"/>
        <v>109129.54949951172</v>
      </c>
      <c r="T371" s="14">
        <f t="shared" si="40"/>
        <v>227907.99816894531</v>
      </c>
      <c r="U371" s="15">
        <f t="shared" si="42"/>
        <v>74178.507868227913</v>
      </c>
      <c r="V371" s="15">
        <f t="shared" si="43"/>
        <v>-14456.912528163361</v>
      </c>
      <c r="W371" s="16">
        <f t="shared" si="37"/>
        <v>1.3093598526624062</v>
      </c>
      <c r="X371" s="16">
        <f t="shared" si="38"/>
        <v>-0.29878697290861095</v>
      </c>
    </row>
    <row r="372" spans="14:24" x14ac:dyDescent="0.25">
      <c r="N372" s="9"/>
      <c r="O372" s="9"/>
      <c r="P372" s="9"/>
      <c r="Q372" s="10"/>
      <c r="R372" s="14">
        <f t="shared" si="39"/>
        <v>173592</v>
      </c>
      <c r="S372" s="14">
        <f t="shared" si="41"/>
        <v>109427.71493530273</v>
      </c>
      <c r="T372" s="14">
        <f t="shared" si="40"/>
        <v>228530.69488525391</v>
      </c>
      <c r="U372" s="15">
        <f t="shared" si="42"/>
        <v>120788.59334331547</v>
      </c>
      <c r="V372" s="15">
        <f t="shared" si="43"/>
        <v>-93213.160903802331</v>
      </c>
      <c r="W372" s="16">
        <f t="shared" si="37"/>
        <v>2.132273210968918</v>
      </c>
      <c r="X372" s="16">
        <f t="shared" si="38"/>
        <v>-1.8976481496549793</v>
      </c>
    </row>
    <row r="373" spans="14:24" x14ac:dyDescent="0.25">
      <c r="N373" s="9"/>
      <c r="O373" s="9"/>
      <c r="P373" s="9"/>
      <c r="Q373" s="10"/>
      <c r="R373" s="14">
        <f t="shared" si="39"/>
        <v>174065</v>
      </c>
      <c r="S373" s="14">
        <f t="shared" si="41"/>
        <v>109725.88037109375</v>
      </c>
      <c r="T373" s="14">
        <f t="shared" si="40"/>
        <v>229153.3916015625</v>
      </c>
      <c r="U373" s="15">
        <f t="shared" si="42"/>
        <v>110854.88867447246</v>
      </c>
      <c r="V373" s="15">
        <f t="shared" si="43"/>
        <v>-131291.05584169168</v>
      </c>
      <c r="W373" s="16">
        <f t="shared" si="37"/>
        <v>1.9568910337825689</v>
      </c>
      <c r="X373" s="16">
        <f t="shared" si="38"/>
        <v>-2.6706822791888873</v>
      </c>
    </row>
    <row r="374" spans="14:24" x14ac:dyDescent="0.25">
      <c r="N374" s="9"/>
      <c r="O374" s="9"/>
      <c r="P374" s="9"/>
      <c r="Q374" s="10"/>
      <c r="R374" s="14">
        <f t="shared" si="39"/>
        <v>174538</v>
      </c>
      <c r="S374" s="14">
        <f t="shared" si="41"/>
        <v>110024.04580688477</v>
      </c>
      <c r="T374" s="14">
        <f t="shared" si="40"/>
        <v>229776.08831787109</v>
      </c>
      <c r="U374" s="15">
        <f t="shared" si="42"/>
        <v>50718.628909093386</v>
      </c>
      <c r="V374" s="15">
        <f t="shared" si="43"/>
        <v>-109050.33359573467</v>
      </c>
      <c r="W374" s="16">
        <f t="shared" si="37"/>
        <v>0.8951694991595327</v>
      </c>
      <c r="X374" s="16">
        <f t="shared" si="38"/>
        <v>-2.2191647415294962</v>
      </c>
    </row>
    <row r="375" spans="14:24" x14ac:dyDescent="0.25">
      <c r="N375" s="9"/>
      <c r="O375" s="9"/>
      <c r="P375" s="9"/>
      <c r="Q375" s="10"/>
      <c r="R375" s="14">
        <f t="shared" si="39"/>
        <v>175011</v>
      </c>
      <c r="S375" s="14">
        <f t="shared" si="41"/>
        <v>110322.21124267578</v>
      </c>
      <c r="T375" s="14">
        <f t="shared" si="40"/>
        <v>230398.78503417969</v>
      </c>
      <c r="U375" s="15">
        <f t="shared" si="42"/>
        <v>-30438.925158266517</v>
      </c>
      <c r="V375" s="15">
        <f t="shared" si="43"/>
        <v>-34624.469385410659</v>
      </c>
      <c r="W375" s="16">
        <f t="shared" si="37"/>
        <v>-0.53768853336240763</v>
      </c>
      <c r="X375" s="16">
        <f t="shared" si="38"/>
        <v>-0.70821637506956803</v>
      </c>
    </row>
    <row r="376" spans="14:24" x14ac:dyDescent="0.25">
      <c r="N376" s="9"/>
      <c r="O376" s="9"/>
      <c r="P376" s="9"/>
      <c r="Q376" s="10"/>
      <c r="R376" s="14">
        <f t="shared" si="39"/>
        <v>175484</v>
      </c>
      <c r="S376" s="14">
        <f t="shared" si="41"/>
        <v>110620.3766784668</v>
      </c>
      <c r="T376" s="14">
        <f t="shared" si="40"/>
        <v>231021.48175048828</v>
      </c>
      <c r="U376" s="15">
        <f t="shared" si="42"/>
        <v>-94725.61269797197</v>
      </c>
      <c r="V376" s="15">
        <f t="shared" si="43"/>
        <v>58904.622180277918</v>
      </c>
      <c r="W376" s="16">
        <f t="shared" si="37"/>
        <v>-1.6726869655359757</v>
      </c>
      <c r="X376" s="16">
        <f t="shared" si="38"/>
        <v>1.1905540270892996</v>
      </c>
    </row>
    <row r="377" spans="14:24" x14ac:dyDescent="0.25">
      <c r="N377" s="9"/>
      <c r="O377" s="9"/>
      <c r="P377" s="9"/>
      <c r="Q377" s="10"/>
      <c r="R377" s="14">
        <f t="shared" si="39"/>
        <v>175957</v>
      </c>
      <c r="S377" s="14">
        <f t="shared" si="41"/>
        <v>110918.54211425781</v>
      </c>
      <c r="T377" s="14">
        <f t="shared" si="40"/>
        <v>231644.17846679688</v>
      </c>
      <c r="U377" s="15">
        <f t="shared" si="42"/>
        <v>-113277.58763346879</v>
      </c>
      <c r="V377" s="15">
        <f t="shared" si="43"/>
        <v>128249.57036449869</v>
      </c>
      <c r="W377" s="16">
        <f t="shared" si="37"/>
        <v>-2.0002269784275577</v>
      </c>
      <c r="X377" s="16">
        <f t="shared" si="38"/>
        <v>2.5983527445499779</v>
      </c>
    </row>
    <row r="378" spans="14:24" x14ac:dyDescent="0.25">
      <c r="N378" s="9"/>
      <c r="O378" s="9"/>
      <c r="P378" s="9"/>
      <c r="Q378" s="10"/>
      <c r="R378" s="14">
        <f t="shared" si="39"/>
        <v>176430</v>
      </c>
      <c r="S378" s="14">
        <f t="shared" si="41"/>
        <v>111216.70755004883</v>
      </c>
      <c r="T378" s="14">
        <f t="shared" si="40"/>
        <v>232266.87518310547</v>
      </c>
      <c r="U378" s="15">
        <f t="shared" si="42"/>
        <v>-79283.862644067965</v>
      </c>
      <c r="V378" s="15">
        <f t="shared" si="43"/>
        <v>139991.05204454286</v>
      </c>
      <c r="W378" s="16">
        <f t="shared" si="37"/>
        <v>-1.4000587936400084</v>
      </c>
      <c r="X378" s="16">
        <f t="shared" si="38"/>
        <v>2.8367211229694385</v>
      </c>
    </row>
    <row r="379" spans="14:24" x14ac:dyDescent="0.25">
      <c r="N379" s="9"/>
      <c r="O379" s="9"/>
      <c r="P379" s="9"/>
      <c r="Q379" s="10"/>
      <c r="R379" s="14">
        <f t="shared" si="39"/>
        <v>176903</v>
      </c>
      <c r="S379" s="14">
        <f t="shared" si="41"/>
        <v>111514.87298583984</v>
      </c>
      <c r="T379" s="14">
        <f t="shared" si="40"/>
        <v>232889.57189941406</v>
      </c>
      <c r="U379" s="15">
        <f t="shared" si="42"/>
        <v>-10389.670568085523</v>
      </c>
      <c r="V379" s="15">
        <f t="shared" si="43"/>
        <v>86656.024720878399</v>
      </c>
      <c r="W379" s="16">
        <f t="shared" si="37"/>
        <v>-0.18371365307246557</v>
      </c>
      <c r="X379" s="16">
        <f t="shared" si="38"/>
        <v>1.7539460250269698</v>
      </c>
    </row>
    <row r="380" spans="14:24" x14ac:dyDescent="0.25">
      <c r="N380" s="9"/>
      <c r="O380" s="9"/>
      <c r="P380" s="9"/>
      <c r="Q380" s="10"/>
      <c r="R380" s="14">
        <f t="shared" si="39"/>
        <v>177376</v>
      </c>
      <c r="S380" s="14">
        <f t="shared" si="41"/>
        <v>111813.03842163086</v>
      </c>
      <c r="T380" s="14">
        <f t="shared" si="40"/>
        <v>233512.26861572266</v>
      </c>
      <c r="U380" s="15">
        <f t="shared" si="42"/>
        <v>60317.943907405046</v>
      </c>
      <c r="V380" s="15">
        <f t="shared" si="43"/>
        <v>-8923.614594426952</v>
      </c>
      <c r="W380" s="16">
        <f t="shared" si="37"/>
        <v>1.0646479384755223</v>
      </c>
      <c r="X380" s="16">
        <f t="shared" si="38"/>
        <v>-0.18645334315741774</v>
      </c>
    </row>
    <row r="381" spans="14:24" x14ac:dyDescent="0.25">
      <c r="N381" s="9"/>
      <c r="O381" s="9"/>
      <c r="P381" s="9"/>
      <c r="Q381" s="10"/>
      <c r="R381" s="14">
        <f t="shared" si="39"/>
        <v>177849</v>
      </c>
      <c r="S381" s="14">
        <f t="shared" si="41"/>
        <v>112111.20385742187</v>
      </c>
      <c r="T381" s="14">
        <f t="shared" si="40"/>
        <v>234134.96533203125</v>
      </c>
      <c r="U381" s="15">
        <f t="shared" si="42"/>
        <v>100193.30087683487</v>
      </c>
      <c r="V381" s="15">
        <f t="shared" si="43"/>
        <v>-103388.27523998191</v>
      </c>
      <c r="W381" s="16">
        <f t="shared" si="37"/>
        <v>1.7686578878870733</v>
      </c>
      <c r="X381" s="16">
        <f t="shared" si="38"/>
        <v>-2.1042170964574929</v>
      </c>
    </row>
    <row r="383" spans="14:24" x14ac:dyDescent="0.25">
      <c r="W383" s="17"/>
      <c r="X383" s="17"/>
    </row>
  </sheetData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NewChartButton">
              <controlPr defaultSize="0" print="0" autoFill="0" autoLine="0" autoPict="0" macro="[0]!RandomButton_Click">
                <anchor>
                  <from>
                    <xdr:col>0</xdr:col>
                    <xdr:colOff>133350</xdr:colOff>
                    <xdr:row>1</xdr:row>
                    <xdr:rowOff>9525</xdr:rowOff>
                  </from>
                  <to>
                    <xdr:col>0</xdr:col>
                    <xdr:colOff>1219200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bSmoothLines">
              <controlPr defaultSize="0" autoFill="0" autoLine="0" autoPict="0" macro="[0]!cbSmoothLines_Click">
                <anchor>
                  <from>
                    <xdr:col>0</xdr:col>
                    <xdr:colOff>133350</xdr:colOff>
                    <xdr:row>5</xdr:row>
                    <xdr:rowOff>161925</xdr:rowOff>
                  </from>
                  <to>
                    <xdr:col>0</xdr:col>
                    <xdr:colOff>1143000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AddToFavoritesButton">
              <controlPr defaultSize="0" print="0" autoFill="0" autoLine="0" autoPict="0" macro="[0]!AddToFavoritesButton_Cklick">
                <anchor moveWithCells="1" sizeWithCells="1">
                  <from>
                    <xdr:col>0</xdr:col>
                    <xdr:colOff>219075</xdr:colOff>
                    <xdr:row>0</xdr:row>
                    <xdr:rowOff>142875</xdr:rowOff>
                  </from>
                  <to>
                    <xdr:col>1</xdr:col>
                    <xdr:colOff>790575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Scroll Bar 13">
              <controlPr defaultSize="0" autoPict="0">
                <anchor>
                  <from>
                    <xdr:col>0</xdr:col>
                    <xdr:colOff>133350</xdr:colOff>
                    <xdr:row>2</xdr:row>
                    <xdr:rowOff>57150</xdr:rowOff>
                  </from>
                  <to>
                    <xdr:col>0</xdr:col>
                    <xdr:colOff>1219200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Scroll Bar 14">
              <controlPr defaultSize="0" autoPict="0">
                <anchor>
                  <from>
                    <xdr:col>0</xdr:col>
                    <xdr:colOff>133350</xdr:colOff>
                    <xdr:row>3</xdr:row>
                    <xdr:rowOff>76200</xdr:rowOff>
                  </from>
                  <to>
                    <xdr:col>0</xdr:col>
                    <xdr:colOff>1219200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" name="Scroll Bar 15">
              <controlPr defaultSize="0" autoPict="0">
                <anchor>
                  <from>
                    <xdr:col>0</xdr:col>
                    <xdr:colOff>133350</xdr:colOff>
                    <xdr:row>4</xdr:row>
                    <xdr:rowOff>76200</xdr:rowOff>
                  </from>
                  <to>
                    <xdr:col>0</xdr:col>
                    <xdr:colOff>1219200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AnimateButton">
              <controlPr defaultSize="0" print="0" autoFill="0" autoLine="0" autoPict="0" macro="[0]!AnimateButton_Click">
                <anchor moveWithCells="1" sizeWithCells="1">
                  <from>
                    <xdr:col>0</xdr:col>
                    <xdr:colOff>123825</xdr:colOff>
                    <xdr:row>8</xdr:row>
                    <xdr:rowOff>152400</xdr:rowOff>
                  </from>
                  <to>
                    <xdr:col>0</xdr:col>
                    <xdr:colOff>1209675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1" name="Scroll Bar 24">
              <controlPr defaultSize="0" autoPict="0">
                <anchor moveWithCells="1">
                  <from>
                    <xdr:col>0</xdr:col>
                    <xdr:colOff>123825</xdr:colOff>
                    <xdr:row>10</xdr:row>
                    <xdr:rowOff>76200</xdr:rowOff>
                  </from>
                  <to>
                    <xdr:col>0</xdr:col>
                    <xdr:colOff>1209675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2009-09-08T18:31:09Z</outs:dateTime>
      <outs:isPinned>true</outs:isPinned>
    </outs:relatedDate>
    <outs:relatedDate>
      <outs:type>2</outs:type>
      <outs:displayName>Created</outs:displayName>
      <outs:dateTime>1999-03-24T23:40:25Z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>
        <outs:relatedPerson>
          <outs:displayName>http://www.j-walk.com/ss/</outs:displayName>
          <outs:accountName/>
        </outs:relatedPerson>
      </outs:people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C2AEF9C1-0E5C-4CC2-BBA5-61FCBCB37023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Chart</vt:lpstr>
      <vt:lpstr>a</vt:lpstr>
      <vt:lpstr>a_inc</vt:lpstr>
      <vt:lpstr>animate</vt:lpstr>
      <vt:lpstr>b</vt:lpstr>
      <vt:lpstr>b_inc</vt:lpstr>
      <vt:lpstr>Increments</vt:lpstr>
      <vt:lpstr>Speed</vt:lpstr>
      <vt:lpstr>t</vt:lpstr>
      <vt:lpstr>t_inc</vt:lpstr>
      <vt:lpstr>x</vt:lpstr>
      <vt:lpstr>y</vt:lpstr>
    </vt:vector>
  </TitlesOfParts>
  <Manager>http://www.j-walk.com/ss/</Manager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hypocycloid - animated.xlsm</dc:title>
  <dc:subject>Excel 2013 Formulas: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1999-03-24T23:40:25Z</dcterms:created>
  <dcterms:modified xsi:type="dcterms:W3CDTF">2013-01-23T16:23:56Z</dcterms:modified>
  <cp:category>Excel 2013 Formulas</cp:category>
</cp:coreProperties>
</file>